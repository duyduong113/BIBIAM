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/>
  <workbookPr/>
  <mc:AlternateContent xmlns:mc="http://schemas.openxmlformats.org/markup-compatibility/2006">
    <mc:Choice Requires="x15">
      <x15ac:absPath xmlns:x15ac="http://schemas.microsoft.com/office/spreadsheetml/2010/11/ac" url="D:\THUC TAP\source code\erp\1.Document\"/>
    </mc:Choice>
  </mc:AlternateContent>
  <bookViews>
    <workbookView xWindow="0" yWindow="0" windowWidth="20370" windowHeight="7080" tabRatio="991" firstSheet="11" activeTab="15"/>
  </bookViews>
  <sheets>
    <sheet name="Sheet List" sheetId="66" r:id="rId1"/>
    <sheet name="Merchant_Info" sheetId="229" r:id="rId2"/>
    <sheet name="Merchant_Product" sheetId="232" r:id="rId3"/>
    <sheet name="Merchant_Product_Price" sheetId="237" r:id="rId4"/>
    <sheet name="Merchant_Product_Hierarchy" sheetId="257" r:id="rId5"/>
    <sheet name="Merchant_Product_Property" sheetId="231" r:id="rId6"/>
    <sheet name="Merchant_Product_Promotion" sheetId="258" r:id="rId7"/>
    <sheet name="Merchant_Promotion_Detail" sheetId="262" r:id="rId8"/>
    <sheet name="Merchant_Config" sheetId="244" r:id="rId9"/>
    <sheet name="Merchant_History" sheetId="259" r:id="rId10"/>
    <sheet name="Merchant_Promotion" sheetId="260" r:id="rId11"/>
    <sheet name="Merchant_Product_Image" sheetId="264" r:id="rId12"/>
    <sheet name="Merchant_WareHouse" sheetId="266" r:id="rId13"/>
    <sheet name="Merchant_LocationWarehouse" sheetId="272" r:id="rId14"/>
    <sheet name="Merchant_DetailLocation" sheetId="273" r:id="rId15"/>
    <sheet name="cms_PostNotify" sheetId="283" r:id="rId16"/>
    <sheet name="HeaderFooterMngt" sheetId="282" r:id="rId17"/>
    <sheet name="Merchant_OrderHeader" sheetId="274" r:id="rId18"/>
    <sheet name="Merchant_OrderDetail" sheetId="276" r:id="rId19"/>
    <sheet name="FooterManagement" sheetId="279" r:id="rId20"/>
    <sheet name="Order_Merchants" sheetId="277" r:id="rId21"/>
    <sheet name="Merchant_StockOutHeader" sheetId="271" r:id="rId22"/>
    <sheet name="Merchant_StockInHeader" sheetId="267" r:id="rId23"/>
    <sheet name="Merchant_StockOutDetail" sheetId="270" r:id="rId24"/>
    <sheet name="Merchant_StockInDetail" sheetId="269" r:id="rId25"/>
    <sheet name="BrandManagement" sheetId="278" r:id="rId26"/>
  </sheets>
  <definedNames>
    <definedName name="Sheets">TRANSPOSE(GET.WORKBOOK(1))&amp;T(NOW())</definedName>
  </definedNames>
  <calcPr calcId="171027"/>
</workbook>
</file>

<file path=xl/calcChain.xml><?xml version="1.0" encoding="utf-8"?>
<calcChain xmlns="http://schemas.openxmlformats.org/spreadsheetml/2006/main">
  <c r="B97" i="283" l="1"/>
  <c r="B96" i="283"/>
  <c r="B94" i="283"/>
  <c r="B93" i="283"/>
  <c r="B92" i="283"/>
  <c r="B91" i="283"/>
  <c r="B90" i="283"/>
  <c r="B89" i="283"/>
  <c r="B88" i="283"/>
  <c r="B87" i="283"/>
  <c r="B86" i="283"/>
  <c r="B85" i="283"/>
  <c r="B84" i="283"/>
  <c r="B83" i="283"/>
  <c r="B82" i="283"/>
  <c r="B81" i="283"/>
  <c r="A80" i="283"/>
  <c r="A79" i="283"/>
  <c r="C76" i="283"/>
  <c r="B76" i="283"/>
  <c r="C75" i="283"/>
  <c r="B75" i="283"/>
  <c r="C74" i="283"/>
  <c r="B74" i="283"/>
  <c r="C73" i="283"/>
  <c r="B73" i="283"/>
  <c r="C72" i="283"/>
  <c r="B72" i="283"/>
  <c r="C71" i="283"/>
  <c r="B71" i="283"/>
  <c r="C70" i="283"/>
  <c r="B70" i="283"/>
  <c r="C69" i="283"/>
  <c r="B69" i="283"/>
  <c r="C68" i="283"/>
  <c r="B68" i="283"/>
  <c r="C67" i="283"/>
  <c r="B67" i="283"/>
  <c r="C66" i="283"/>
  <c r="B66" i="283"/>
  <c r="C65" i="283"/>
  <c r="B65" i="283"/>
  <c r="C64" i="283"/>
  <c r="B64" i="283"/>
  <c r="C63" i="283"/>
  <c r="B63" i="283"/>
  <c r="C62" i="283"/>
  <c r="B62" i="283"/>
  <c r="B58" i="283"/>
  <c r="C50" i="283"/>
  <c r="C49" i="283"/>
  <c r="B47" i="283"/>
  <c r="A46" i="283"/>
  <c r="B42" i="283"/>
  <c r="B41" i="283"/>
  <c r="B40" i="283"/>
  <c r="B39" i="283"/>
  <c r="B38" i="283"/>
  <c r="B37" i="283"/>
  <c r="B36" i="283"/>
  <c r="B35" i="283"/>
  <c r="B34" i="283"/>
  <c r="B33" i="283"/>
  <c r="B32" i="283"/>
  <c r="B31" i="283"/>
  <c r="B30" i="283"/>
  <c r="B29" i="283"/>
  <c r="B28" i="283"/>
  <c r="B27" i="283"/>
  <c r="A26" i="283"/>
  <c r="A23" i="283"/>
  <c r="A22" i="283"/>
  <c r="B42" i="282" l="1"/>
  <c r="B41" i="282" l="1"/>
  <c r="B40" i="282"/>
  <c r="B97" i="282" l="1"/>
  <c r="B96" i="282"/>
  <c r="B94" i="282"/>
  <c r="B93" i="282"/>
  <c r="B92" i="282"/>
  <c r="B91" i="282"/>
  <c r="B90" i="282"/>
  <c r="B89" i="282"/>
  <c r="B88" i="282"/>
  <c r="B87" i="282"/>
  <c r="B86" i="282"/>
  <c r="B85" i="282"/>
  <c r="B84" i="282"/>
  <c r="B83" i="282"/>
  <c r="B82" i="282"/>
  <c r="B81" i="282"/>
  <c r="A80" i="282"/>
  <c r="A79" i="282"/>
  <c r="C76" i="282"/>
  <c r="B76" i="282"/>
  <c r="C75" i="282"/>
  <c r="B75" i="282"/>
  <c r="C74" i="282"/>
  <c r="B74" i="282"/>
  <c r="C73" i="282"/>
  <c r="B73" i="282"/>
  <c r="C72" i="282"/>
  <c r="B72" i="282"/>
  <c r="C71" i="282"/>
  <c r="B71" i="282"/>
  <c r="C70" i="282"/>
  <c r="B70" i="282"/>
  <c r="C69" i="282"/>
  <c r="B69" i="282"/>
  <c r="C68" i="282"/>
  <c r="B68" i="282"/>
  <c r="C67" i="282"/>
  <c r="B67" i="282"/>
  <c r="C66" i="282"/>
  <c r="B66" i="282"/>
  <c r="C65" i="282"/>
  <c r="B65" i="282"/>
  <c r="C64" i="282"/>
  <c r="B64" i="282"/>
  <c r="C63" i="282"/>
  <c r="B63" i="282"/>
  <c r="C62" i="282"/>
  <c r="B62" i="282"/>
  <c r="B58" i="282"/>
  <c r="C50" i="282"/>
  <c r="C49" i="282"/>
  <c r="B47" i="282"/>
  <c r="A46" i="282"/>
  <c r="B39" i="282"/>
  <c r="B38" i="282"/>
  <c r="B37" i="282"/>
  <c r="B36" i="282"/>
  <c r="B35" i="282"/>
  <c r="B34" i="282"/>
  <c r="B33" i="282"/>
  <c r="B32" i="282"/>
  <c r="B31" i="282"/>
  <c r="B30" i="282"/>
  <c r="B29" i="282"/>
  <c r="B28" i="282"/>
  <c r="B27" i="282"/>
  <c r="A26" i="282"/>
  <c r="A23" i="282"/>
  <c r="A22" i="282"/>
  <c r="B83" i="279" l="1"/>
  <c r="B82" i="279"/>
  <c r="B81" i="279"/>
  <c r="B79" i="279"/>
  <c r="B78" i="279"/>
  <c r="B77" i="279"/>
  <c r="B76" i="279"/>
  <c r="B75" i="279"/>
  <c r="B74" i="279"/>
  <c r="B73" i="279"/>
  <c r="B72" i="279"/>
  <c r="B71" i="279"/>
  <c r="B70" i="279"/>
  <c r="B69" i="279"/>
  <c r="A68" i="279"/>
  <c r="A67" i="279"/>
  <c r="C64" i="279"/>
  <c r="C63" i="279"/>
  <c r="B63" i="279"/>
  <c r="C62" i="279"/>
  <c r="B62" i="279"/>
  <c r="C61" i="279"/>
  <c r="B61" i="279"/>
  <c r="C60" i="279"/>
  <c r="B60" i="279"/>
  <c r="C59" i="279"/>
  <c r="B59" i="279"/>
  <c r="C58" i="279"/>
  <c r="B58" i="279"/>
  <c r="C57" i="279"/>
  <c r="B57" i="279"/>
  <c r="C56" i="279"/>
  <c r="B56" i="279"/>
  <c r="C55" i="279"/>
  <c r="B55" i="279"/>
  <c r="C54" i="279"/>
  <c r="B54" i="279"/>
  <c r="C53" i="279"/>
  <c r="B53" i="279"/>
  <c r="B49" i="279"/>
  <c r="C41" i="279"/>
  <c r="C40" i="279"/>
  <c r="C39" i="279"/>
  <c r="B37" i="279"/>
  <c r="A36" i="279"/>
  <c r="B32" i="279"/>
  <c r="B31" i="279"/>
  <c r="B30" i="279"/>
  <c r="B29" i="279"/>
  <c r="B28" i="279"/>
  <c r="B27" i="279"/>
  <c r="B26" i="279"/>
  <c r="B25" i="279"/>
  <c r="B24" i="279"/>
  <c r="B23" i="279"/>
  <c r="B22" i="279"/>
  <c r="A21" i="279"/>
  <c r="A18" i="279"/>
  <c r="A17" i="279"/>
  <c r="B70" i="278" l="1"/>
  <c r="B71" i="278"/>
  <c r="B72" i="278"/>
  <c r="B73" i="278"/>
  <c r="B74" i="278"/>
  <c r="B75" i="278"/>
  <c r="B76" i="278"/>
  <c r="B77" i="278"/>
  <c r="B78" i="278"/>
  <c r="B55" i="278"/>
  <c r="C55" i="278"/>
  <c r="B56" i="278"/>
  <c r="C56" i="278"/>
  <c r="B57" i="278"/>
  <c r="C57" i="278"/>
  <c r="B58" i="278"/>
  <c r="C58" i="278"/>
  <c r="B59" i="278"/>
  <c r="C59" i="278"/>
  <c r="B60" i="278"/>
  <c r="C60" i="278"/>
  <c r="B61" i="278"/>
  <c r="C61" i="278"/>
  <c r="B62" i="278"/>
  <c r="C62" i="278"/>
  <c r="B63" i="278"/>
  <c r="C63" i="278"/>
  <c r="B28" i="278"/>
  <c r="B29" i="278"/>
  <c r="B30" i="278"/>
  <c r="B31" i="278"/>
  <c r="B32" i="278"/>
  <c r="B33" i="278"/>
  <c r="B34" i="278"/>
  <c r="B35" i="278"/>
  <c r="B36" i="278"/>
  <c r="B82" i="278"/>
  <c r="B81" i="278"/>
  <c r="B80" i="278"/>
  <c r="B69" i="278"/>
  <c r="A68" i="278"/>
  <c r="A67" i="278"/>
  <c r="C64" i="278"/>
  <c r="C54" i="278"/>
  <c r="B54" i="278"/>
  <c r="B50" i="278"/>
  <c r="C45" i="278"/>
  <c r="C44" i="278"/>
  <c r="C43" i="278"/>
  <c r="B41" i="278"/>
  <c r="A40" i="278"/>
  <c r="B27" i="278"/>
  <c r="A26" i="278"/>
  <c r="A23" i="278"/>
  <c r="A22" i="278"/>
  <c r="B70" i="277" l="1"/>
  <c r="B71" i="277"/>
  <c r="B72" i="277"/>
  <c r="B73" i="277"/>
  <c r="B74" i="277"/>
  <c r="B75" i="277"/>
  <c r="B76" i="277"/>
  <c r="B77" i="277"/>
  <c r="B78" i="277"/>
  <c r="B79" i="277"/>
  <c r="B23" i="277"/>
  <c r="B24" i="277"/>
  <c r="B25" i="277"/>
  <c r="B26" i="277"/>
  <c r="B27" i="277"/>
  <c r="B28" i="277"/>
  <c r="B29" i="277"/>
  <c r="B30" i="277"/>
  <c r="B31" i="277"/>
  <c r="B32" i="277"/>
  <c r="B81" i="276"/>
  <c r="B82" i="276"/>
  <c r="B83" i="276"/>
  <c r="B84" i="276"/>
  <c r="B85" i="276"/>
  <c r="B86" i="276"/>
  <c r="B87" i="276"/>
  <c r="B88" i="276"/>
  <c r="B89" i="276"/>
  <c r="B90" i="276"/>
  <c r="B91" i="276"/>
  <c r="B92" i="276"/>
  <c r="B93" i="276"/>
  <c r="B27" i="276"/>
  <c r="B28" i="276"/>
  <c r="B29" i="276"/>
  <c r="B30" i="276"/>
  <c r="B31" i="276"/>
  <c r="B32" i="276"/>
  <c r="B33" i="276"/>
  <c r="B34" i="276"/>
  <c r="B35" i="276"/>
  <c r="B36" i="276"/>
  <c r="B37" i="276"/>
  <c r="B38" i="276"/>
  <c r="B39" i="276"/>
  <c r="B104" i="274"/>
  <c r="B105" i="274"/>
  <c r="B106" i="274"/>
  <c r="B107" i="274"/>
  <c r="B108" i="274"/>
  <c r="B109" i="274"/>
  <c r="B110" i="274"/>
  <c r="B111" i="274"/>
  <c r="B112" i="274"/>
  <c r="B113" i="274"/>
  <c r="B114" i="274"/>
  <c r="B115" i="274"/>
  <c r="B116" i="274"/>
  <c r="B117" i="274"/>
  <c r="B118" i="274"/>
  <c r="B119" i="274"/>
  <c r="B120" i="274"/>
  <c r="B121" i="274"/>
  <c r="B122" i="274"/>
  <c r="B123" i="274"/>
  <c r="B124" i="274"/>
  <c r="B35" i="274"/>
  <c r="B36" i="274"/>
  <c r="B37" i="274"/>
  <c r="B38" i="274"/>
  <c r="B39" i="274"/>
  <c r="B40" i="274"/>
  <c r="B41" i="274"/>
  <c r="B42" i="274"/>
  <c r="B43" i="274"/>
  <c r="B44" i="274"/>
  <c r="B45" i="274"/>
  <c r="B46" i="274"/>
  <c r="B47" i="274"/>
  <c r="B48" i="274"/>
  <c r="B49" i="274"/>
  <c r="B50" i="274"/>
  <c r="B51" i="274"/>
  <c r="B52" i="274"/>
  <c r="B53" i="274"/>
  <c r="B54" i="274"/>
  <c r="B55" i="274"/>
  <c r="B56" i="274"/>
  <c r="B77" i="274" l="1"/>
  <c r="C77" i="274"/>
  <c r="B78" i="274"/>
  <c r="C78" i="274"/>
  <c r="B79" i="274"/>
  <c r="C79" i="274"/>
  <c r="B80" i="274"/>
  <c r="C80" i="274"/>
  <c r="B81" i="274"/>
  <c r="C81" i="274"/>
  <c r="B82" i="274"/>
  <c r="C82" i="274"/>
  <c r="B83" i="274"/>
  <c r="C83" i="274"/>
  <c r="B84" i="274"/>
  <c r="C84" i="274"/>
  <c r="B85" i="274"/>
  <c r="C85" i="274"/>
  <c r="B86" i="274"/>
  <c r="C86" i="274"/>
  <c r="B87" i="274"/>
  <c r="C87" i="274"/>
  <c r="B88" i="274"/>
  <c r="C88" i="274"/>
  <c r="B89" i="274"/>
  <c r="C89" i="274"/>
  <c r="B90" i="274"/>
  <c r="C90" i="274"/>
  <c r="B91" i="274"/>
  <c r="C91" i="274"/>
  <c r="B92" i="274"/>
  <c r="C92" i="274"/>
  <c r="B93" i="274"/>
  <c r="C93" i="274"/>
  <c r="B94" i="274"/>
  <c r="C94" i="274"/>
  <c r="B95" i="274"/>
  <c r="C95" i="274"/>
  <c r="B96" i="274"/>
  <c r="C96" i="274"/>
  <c r="B97" i="274"/>
  <c r="C97" i="274"/>
  <c r="B98" i="274"/>
  <c r="C98" i="274"/>
  <c r="A101" i="274"/>
  <c r="A102" i="274"/>
  <c r="B103" i="274"/>
  <c r="B126" i="274"/>
  <c r="B127" i="274"/>
  <c r="B82" i="277"/>
  <c r="B83" i="277"/>
  <c r="B54" i="277"/>
  <c r="C54" i="277"/>
  <c r="B55" i="277"/>
  <c r="C55" i="277"/>
  <c r="B56" i="277"/>
  <c r="C56" i="277"/>
  <c r="B57" i="277"/>
  <c r="C57" i="277"/>
  <c r="B58" i="277"/>
  <c r="C58" i="277"/>
  <c r="B59" i="277"/>
  <c r="C59" i="277"/>
  <c r="B60" i="277"/>
  <c r="C60" i="277"/>
  <c r="B61" i="277"/>
  <c r="C61" i="277"/>
  <c r="B62" i="277"/>
  <c r="C62" i="277"/>
  <c r="B63" i="277"/>
  <c r="C63" i="277"/>
  <c r="C40" i="277"/>
  <c r="C41" i="277"/>
  <c r="B81" i="277"/>
  <c r="B69" i="277"/>
  <c r="A68" i="277"/>
  <c r="A67" i="277"/>
  <c r="C64" i="277"/>
  <c r="C53" i="277"/>
  <c r="B53" i="277"/>
  <c r="B49" i="277"/>
  <c r="C39" i="277"/>
  <c r="B37" i="277"/>
  <c r="A36" i="277"/>
  <c r="B22" i="277"/>
  <c r="A21" i="277"/>
  <c r="A18" i="277"/>
  <c r="A17" i="277"/>
  <c r="B62" i="276"/>
  <c r="C62" i="276"/>
  <c r="B63" i="276"/>
  <c r="C63" i="276"/>
  <c r="B64" i="276"/>
  <c r="C64" i="276"/>
  <c r="B65" i="276"/>
  <c r="C65" i="276"/>
  <c r="B66" i="276"/>
  <c r="C66" i="276"/>
  <c r="B67" i="276"/>
  <c r="C67" i="276"/>
  <c r="B68" i="276"/>
  <c r="C68" i="276"/>
  <c r="B69" i="276"/>
  <c r="C69" i="276"/>
  <c r="B70" i="276"/>
  <c r="C70" i="276"/>
  <c r="B71" i="276"/>
  <c r="C71" i="276"/>
  <c r="B72" i="276"/>
  <c r="C72" i="276"/>
  <c r="B73" i="276"/>
  <c r="C73" i="276"/>
  <c r="B74" i="276"/>
  <c r="C74" i="276"/>
  <c r="C64" i="274"/>
  <c r="B34" i="274"/>
  <c r="B96" i="276" l="1"/>
  <c r="B97" i="276"/>
  <c r="B98" i="276"/>
  <c r="C47" i="276"/>
  <c r="C48" i="276"/>
  <c r="C49" i="276"/>
  <c r="B19" i="66" l="1"/>
  <c r="B18" i="66"/>
  <c r="B17" i="66"/>
  <c r="B95" i="276"/>
  <c r="B80" i="276"/>
  <c r="A79" i="276"/>
  <c r="A78" i="276"/>
  <c r="C75" i="276"/>
  <c r="C61" i="276"/>
  <c r="B61" i="276"/>
  <c r="B57" i="276"/>
  <c r="C46" i="276"/>
  <c r="B44" i="276"/>
  <c r="A43" i="276"/>
  <c r="B26" i="276"/>
  <c r="A25" i="276"/>
  <c r="A22" i="276"/>
  <c r="A21" i="276"/>
  <c r="C76" i="274"/>
  <c r="B76" i="274"/>
  <c r="B72" i="274"/>
  <c r="C63" i="274"/>
  <c r="B61" i="274"/>
  <c r="A60" i="274"/>
  <c r="A33" i="274"/>
  <c r="A30" i="274"/>
  <c r="A29" i="274"/>
  <c r="C83" i="273" l="1"/>
  <c r="C75" i="273"/>
  <c r="B75" i="273"/>
  <c r="C74" i="273"/>
  <c r="B74" i="273"/>
  <c r="C73" i="273"/>
  <c r="B73" i="273"/>
  <c r="C72" i="273"/>
  <c r="B72" i="273"/>
  <c r="C71" i="273"/>
  <c r="B71" i="273"/>
  <c r="C70" i="273"/>
  <c r="B70" i="273"/>
  <c r="C69" i="273"/>
  <c r="B69" i="273"/>
  <c r="C68" i="273"/>
  <c r="B68" i="273"/>
  <c r="B64" i="273"/>
  <c r="C57" i="273"/>
  <c r="C56" i="273"/>
  <c r="C55" i="273"/>
  <c r="B53" i="273"/>
  <c r="A52" i="273"/>
  <c r="B39" i="273"/>
  <c r="B38" i="273"/>
  <c r="B37" i="273"/>
  <c r="B36" i="273"/>
  <c r="B35" i="273"/>
  <c r="B34" i="273"/>
  <c r="A33" i="273"/>
  <c r="A30" i="273"/>
  <c r="A29" i="273"/>
  <c r="B110" i="272" l="1"/>
  <c r="B109" i="272"/>
  <c r="B108" i="272"/>
  <c r="B106" i="272"/>
  <c r="B105" i="272"/>
  <c r="B104" i="272"/>
  <c r="B103" i="272"/>
  <c r="B102" i="272"/>
  <c r="B101" i="272"/>
  <c r="B100" i="272"/>
  <c r="B99" i="272"/>
  <c r="B98" i="272"/>
  <c r="B97" i="272"/>
  <c r="B96" i="272"/>
  <c r="B89" i="272"/>
  <c r="B88" i="272"/>
  <c r="B87" i="272"/>
  <c r="A86" i="272"/>
  <c r="A85" i="272"/>
  <c r="C82" i="272"/>
  <c r="C81" i="272"/>
  <c r="B81" i="272"/>
  <c r="C80" i="272"/>
  <c r="B80" i="272"/>
  <c r="C79" i="272"/>
  <c r="B79" i="272"/>
  <c r="C78" i="272"/>
  <c r="B78" i="272"/>
  <c r="C77" i="272"/>
  <c r="B77" i="272"/>
  <c r="C76" i="272"/>
  <c r="B76" i="272"/>
  <c r="C75" i="272"/>
  <c r="B75" i="272"/>
  <c r="C74" i="272"/>
  <c r="B74" i="272"/>
  <c r="C73" i="272"/>
  <c r="B73" i="272"/>
  <c r="C72" i="272"/>
  <c r="B72" i="272"/>
  <c r="C71" i="272"/>
  <c r="B71" i="272"/>
  <c r="C70" i="272"/>
  <c r="B70" i="272"/>
  <c r="C69" i="272"/>
  <c r="B69" i="272"/>
  <c r="C68" i="272"/>
  <c r="B68" i="272"/>
  <c r="C67" i="272"/>
  <c r="B67" i="272"/>
  <c r="B63" i="272"/>
  <c r="C58" i="272"/>
  <c r="C57" i="272"/>
  <c r="C56" i="272"/>
  <c r="C55" i="272"/>
  <c r="B53" i="272"/>
  <c r="A52" i="272"/>
  <c r="B39" i="272"/>
  <c r="B38" i="272"/>
  <c r="B37" i="272"/>
  <c r="B36" i="272"/>
  <c r="B35" i="272"/>
  <c r="B34" i="272"/>
  <c r="A33" i="272"/>
  <c r="A30" i="272"/>
  <c r="A29" i="272"/>
  <c r="B75" i="267" l="1"/>
  <c r="C75" i="267"/>
  <c r="B76" i="267"/>
  <c r="C76" i="267"/>
  <c r="B77" i="267"/>
  <c r="C77" i="267"/>
  <c r="B78" i="267"/>
  <c r="C78" i="267"/>
  <c r="B79" i="267"/>
  <c r="C79" i="267"/>
  <c r="B80" i="267"/>
  <c r="C80" i="267"/>
  <c r="B81" i="267"/>
  <c r="C81" i="267"/>
  <c r="B82" i="267"/>
  <c r="C82" i="267"/>
  <c r="B83" i="267"/>
  <c r="C83" i="267"/>
  <c r="B84" i="267"/>
  <c r="C84" i="267"/>
  <c r="B85" i="267"/>
  <c r="C85" i="267"/>
  <c r="B86" i="267"/>
  <c r="C86" i="267"/>
  <c r="B87" i="267"/>
  <c r="C87" i="267"/>
  <c r="B88" i="267"/>
  <c r="C88" i="267"/>
  <c r="B89" i="267"/>
  <c r="C89" i="267"/>
  <c r="B90" i="267"/>
  <c r="C90" i="267"/>
  <c r="B91" i="267"/>
  <c r="C91" i="267"/>
  <c r="B63" i="269"/>
  <c r="C63" i="269"/>
  <c r="B64" i="269"/>
  <c r="C64" i="269"/>
  <c r="B65" i="269"/>
  <c r="C65" i="269"/>
  <c r="B66" i="269"/>
  <c r="C66" i="269"/>
  <c r="B67" i="269"/>
  <c r="C67" i="269"/>
  <c r="B68" i="269"/>
  <c r="C68" i="269"/>
  <c r="B69" i="269"/>
  <c r="C69" i="269"/>
  <c r="B70" i="269"/>
  <c r="C70" i="269"/>
  <c r="B71" i="269"/>
  <c r="C71" i="269"/>
  <c r="B72" i="269"/>
  <c r="C72" i="269"/>
  <c r="B73" i="269"/>
  <c r="C73" i="269"/>
  <c r="B74" i="269"/>
  <c r="C74" i="269"/>
  <c r="B63" i="270"/>
  <c r="C63" i="270"/>
  <c r="B64" i="270"/>
  <c r="C64" i="270"/>
  <c r="B65" i="270"/>
  <c r="C65" i="270"/>
  <c r="B66" i="270"/>
  <c r="C66" i="270"/>
  <c r="B67" i="270"/>
  <c r="C67" i="270"/>
  <c r="B68" i="270"/>
  <c r="C68" i="270"/>
  <c r="B69" i="270"/>
  <c r="C69" i="270"/>
  <c r="B70" i="270"/>
  <c r="C70" i="270"/>
  <c r="B71" i="270"/>
  <c r="C71" i="270"/>
  <c r="B72" i="270"/>
  <c r="C72" i="270"/>
  <c r="B73" i="270"/>
  <c r="C73" i="270"/>
  <c r="B74" i="270"/>
  <c r="C74" i="270"/>
  <c r="B75" i="271"/>
  <c r="C75" i="271"/>
  <c r="B76" i="271"/>
  <c r="C76" i="271"/>
  <c r="B77" i="271"/>
  <c r="C77" i="271"/>
  <c r="B78" i="271"/>
  <c r="C78" i="271"/>
  <c r="B79" i="271"/>
  <c r="C79" i="271"/>
  <c r="B80" i="271"/>
  <c r="C80" i="271"/>
  <c r="B81" i="271"/>
  <c r="C81" i="271"/>
  <c r="B82" i="271"/>
  <c r="C82" i="271"/>
  <c r="B83" i="271"/>
  <c r="C83" i="271"/>
  <c r="B84" i="271"/>
  <c r="C84" i="271"/>
  <c r="B85" i="271"/>
  <c r="C85" i="271"/>
  <c r="B86" i="271"/>
  <c r="C86" i="271"/>
  <c r="B87" i="271"/>
  <c r="C87" i="271"/>
  <c r="B88" i="271"/>
  <c r="C88" i="271"/>
  <c r="B89" i="271"/>
  <c r="C89" i="271"/>
  <c r="B90" i="271"/>
  <c r="C90" i="271"/>
  <c r="B91" i="271"/>
  <c r="C91" i="271"/>
  <c r="B40" i="271"/>
  <c r="B41" i="271"/>
  <c r="B42" i="271"/>
  <c r="B43" i="271"/>
  <c r="B44" i="271"/>
  <c r="B45" i="271"/>
  <c r="B46" i="271"/>
  <c r="B47" i="271"/>
  <c r="B48" i="271"/>
  <c r="B49" i="271"/>
  <c r="B50" i="271"/>
  <c r="B51" i="271"/>
  <c r="B52" i="271"/>
  <c r="B53" i="271"/>
  <c r="B54" i="271"/>
  <c r="B55" i="271"/>
  <c r="B56" i="271"/>
  <c r="B40" i="267"/>
  <c r="B41" i="267"/>
  <c r="B42" i="267"/>
  <c r="B43" i="267"/>
  <c r="B44" i="267"/>
  <c r="B45" i="267"/>
  <c r="B46" i="267"/>
  <c r="B47" i="267"/>
  <c r="B48" i="267"/>
  <c r="B49" i="267"/>
  <c r="B50" i="267"/>
  <c r="B51" i="267"/>
  <c r="B52" i="267"/>
  <c r="B53" i="267"/>
  <c r="B54" i="267"/>
  <c r="B55" i="267"/>
  <c r="B56" i="267"/>
  <c r="B107" i="271"/>
  <c r="B106" i="271"/>
  <c r="B105" i="271"/>
  <c r="B103" i="271"/>
  <c r="B102" i="271"/>
  <c r="B101" i="271"/>
  <c r="B100" i="271"/>
  <c r="B99" i="271"/>
  <c r="B98" i="271"/>
  <c r="B97" i="271"/>
  <c r="A96" i="271"/>
  <c r="A95" i="271"/>
  <c r="C92" i="271"/>
  <c r="C74" i="271"/>
  <c r="B74" i="271"/>
  <c r="B70" i="271"/>
  <c r="C65" i="271"/>
  <c r="C64" i="271"/>
  <c r="C63" i="271"/>
  <c r="B61" i="271"/>
  <c r="A60" i="271"/>
  <c r="B39" i="271"/>
  <c r="A38" i="271"/>
  <c r="A35" i="271"/>
  <c r="A34" i="271"/>
  <c r="B90" i="270"/>
  <c r="B89" i="270"/>
  <c r="B88" i="270"/>
  <c r="B86" i="270"/>
  <c r="B85" i="270"/>
  <c r="B84" i="270"/>
  <c r="B83" i="270"/>
  <c r="B82" i="270"/>
  <c r="B81" i="270"/>
  <c r="B80" i="270"/>
  <c r="A79" i="270"/>
  <c r="A78" i="270"/>
  <c r="C75" i="270"/>
  <c r="C62" i="270"/>
  <c r="B62" i="270"/>
  <c r="B58" i="270"/>
  <c r="C53" i="270"/>
  <c r="C52" i="270"/>
  <c r="C51" i="270"/>
  <c r="B49" i="270"/>
  <c r="A48" i="270"/>
  <c r="B44" i="270"/>
  <c r="B43" i="270"/>
  <c r="B42" i="270"/>
  <c r="B41" i="270"/>
  <c r="B40" i="270"/>
  <c r="B39" i="270"/>
  <c r="B38" i="270"/>
  <c r="B37" i="270"/>
  <c r="B36" i="270"/>
  <c r="B35" i="270"/>
  <c r="B34" i="270"/>
  <c r="B33" i="270"/>
  <c r="B32" i="270"/>
  <c r="A31" i="270"/>
  <c r="A28" i="270"/>
  <c r="A27" i="270"/>
  <c r="B33" i="269"/>
  <c r="B34" i="269"/>
  <c r="B35" i="269"/>
  <c r="B36" i="269"/>
  <c r="B37" i="269"/>
  <c r="B38" i="269"/>
  <c r="B39" i="269"/>
  <c r="B40" i="269"/>
  <c r="B41" i="269"/>
  <c r="B42" i="269"/>
  <c r="B43" i="269"/>
  <c r="B44" i="269"/>
  <c r="B68" i="266" l="1"/>
  <c r="B69" i="266"/>
  <c r="B70" i="266"/>
  <c r="B71" i="266"/>
  <c r="B72" i="266"/>
  <c r="B73" i="266"/>
  <c r="B74" i="266"/>
  <c r="B75" i="266"/>
  <c r="B76" i="266"/>
  <c r="B77" i="266"/>
  <c r="B78" i="266"/>
  <c r="B79" i="266"/>
  <c r="B80" i="266"/>
  <c r="B81" i="266"/>
  <c r="C68" i="266"/>
  <c r="C69" i="266"/>
  <c r="C70" i="266"/>
  <c r="C71" i="266"/>
  <c r="C72" i="266"/>
  <c r="C73" i="266"/>
  <c r="C74" i="266"/>
  <c r="C75" i="266"/>
  <c r="C76" i="266"/>
  <c r="C77" i="266"/>
  <c r="C78" i="266"/>
  <c r="C79" i="266"/>
  <c r="C80" i="266"/>
  <c r="C81" i="266"/>
  <c r="C56" i="266"/>
  <c r="C57" i="266"/>
  <c r="B35" i="266"/>
  <c r="B36" i="266"/>
  <c r="B37" i="266"/>
  <c r="B38" i="266"/>
  <c r="B39" i="266"/>
  <c r="B40" i="266"/>
  <c r="B41" i="266"/>
  <c r="B42" i="266"/>
  <c r="B43" i="266"/>
  <c r="B44" i="266"/>
  <c r="B45" i="266"/>
  <c r="B46" i="266"/>
  <c r="B47" i="266"/>
  <c r="B48" i="266"/>
  <c r="C64" i="267"/>
  <c r="B90" i="269"/>
  <c r="B89" i="269"/>
  <c r="B88" i="269"/>
  <c r="B86" i="269"/>
  <c r="B85" i="269"/>
  <c r="B84" i="269"/>
  <c r="B83" i="269"/>
  <c r="B82" i="269"/>
  <c r="B81" i="269"/>
  <c r="B80" i="269"/>
  <c r="A79" i="269"/>
  <c r="A78" i="269"/>
  <c r="C75" i="269"/>
  <c r="C62" i="269"/>
  <c r="B62" i="269"/>
  <c r="B58" i="269"/>
  <c r="C53" i="269"/>
  <c r="C52" i="269"/>
  <c r="C51" i="269"/>
  <c r="B49" i="269"/>
  <c r="A48" i="269"/>
  <c r="B32" i="269"/>
  <c r="A31" i="269"/>
  <c r="A28" i="269"/>
  <c r="A27" i="269"/>
  <c r="B107" i="267" l="1"/>
  <c r="B106" i="267"/>
  <c r="B105" i="267"/>
  <c r="B103" i="267"/>
  <c r="B102" i="267"/>
  <c r="B101" i="267"/>
  <c r="B100" i="267"/>
  <c r="B99" i="267"/>
  <c r="B98" i="267"/>
  <c r="B97" i="267"/>
  <c r="A96" i="267"/>
  <c r="A95" i="267"/>
  <c r="C92" i="267"/>
  <c r="C74" i="267"/>
  <c r="B74" i="267"/>
  <c r="B70" i="267"/>
  <c r="C65" i="267"/>
  <c r="C63" i="267"/>
  <c r="B61" i="267"/>
  <c r="A60" i="267"/>
  <c r="B39" i="267"/>
  <c r="A38" i="267"/>
  <c r="A35" i="267"/>
  <c r="A34" i="267"/>
  <c r="B109" i="266"/>
  <c r="B110" i="266"/>
  <c r="B88" i="266"/>
  <c r="B89" i="266"/>
  <c r="B90" i="266"/>
  <c r="B91" i="266"/>
  <c r="B92" i="266"/>
  <c r="B93" i="266"/>
  <c r="B94" i="266"/>
  <c r="B95" i="266"/>
  <c r="B96" i="266"/>
  <c r="B97" i="266"/>
  <c r="B98" i="266"/>
  <c r="B99" i="266"/>
  <c r="B100" i="266"/>
  <c r="B101" i="266"/>
  <c r="B102" i="266"/>
  <c r="B103" i="266"/>
  <c r="B104" i="266"/>
  <c r="B105" i="266"/>
  <c r="B106" i="266"/>
  <c r="B13" i="66"/>
  <c r="B14" i="66"/>
  <c r="B15" i="66"/>
  <c r="B16" i="66"/>
  <c r="B108" i="266"/>
  <c r="B87" i="266"/>
  <c r="A86" i="266"/>
  <c r="A85" i="266"/>
  <c r="C82" i="266"/>
  <c r="C67" i="266"/>
  <c r="B67" i="266"/>
  <c r="B63" i="266"/>
  <c r="C58" i="266"/>
  <c r="C55" i="266"/>
  <c r="B53" i="266"/>
  <c r="A52" i="266"/>
  <c r="B34" i="266"/>
  <c r="A33" i="266"/>
  <c r="A30" i="266"/>
  <c r="A29" i="266"/>
  <c r="B75" i="264" l="1"/>
  <c r="B76" i="264"/>
  <c r="B77" i="264"/>
  <c r="B78" i="264"/>
  <c r="B79" i="264"/>
  <c r="B80" i="264"/>
  <c r="B63" i="264"/>
  <c r="B64" i="264"/>
  <c r="B65" i="264"/>
  <c r="B66" i="264"/>
  <c r="B67" i="264"/>
  <c r="B68" i="264"/>
  <c r="C63" i="264"/>
  <c r="C64" i="264"/>
  <c r="C65" i="264"/>
  <c r="C66" i="264"/>
  <c r="C67" i="264"/>
  <c r="C68" i="264"/>
  <c r="B39" i="264"/>
  <c r="B40" i="264"/>
  <c r="B41" i="264"/>
  <c r="B42" i="264"/>
  <c r="B43" i="264"/>
  <c r="B44" i="264"/>
  <c r="B84" i="264"/>
  <c r="B83" i="264"/>
  <c r="B82" i="264"/>
  <c r="B74" i="264"/>
  <c r="A73" i="264"/>
  <c r="A72" i="264"/>
  <c r="C69" i="264"/>
  <c r="C62" i="264"/>
  <c r="B62" i="264"/>
  <c r="B58" i="264"/>
  <c r="C53" i="264"/>
  <c r="C52" i="264"/>
  <c r="C51" i="264"/>
  <c r="B49" i="264"/>
  <c r="A48" i="264"/>
  <c r="B38" i="264"/>
  <c r="A37" i="264"/>
  <c r="A34" i="264"/>
  <c r="A33" i="264"/>
  <c r="A11" i="66" a="1"/>
  <c r="A12" i="66" a="1"/>
  <c r="A12" i="66" l="1"/>
  <c r="B12" i="66" s="1"/>
  <c r="A11" i="66"/>
  <c r="B11" i="66" s="1"/>
  <c r="B92" i="232" l="1"/>
  <c r="B93" i="232"/>
  <c r="B94" i="232"/>
  <c r="B95" i="232"/>
  <c r="B96" i="232"/>
  <c r="B97" i="232"/>
  <c r="B98" i="232"/>
  <c r="B99" i="232"/>
  <c r="B100" i="232"/>
  <c r="B101" i="232"/>
  <c r="B102" i="232"/>
  <c r="B103" i="232"/>
  <c r="B104" i="232"/>
  <c r="B105" i="232"/>
  <c r="B106" i="232"/>
  <c r="B107" i="232"/>
  <c r="B108" i="232"/>
  <c r="B109" i="232"/>
  <c r="B110" i="232"/>
  <c r="B111" i="232"/>
  <c r="B112" i="232"/>
  <c r="B113" i="232"/>
  <c r="B114" i="232"/>
  <c r="B115" i="232"/>
  <c r="B116" i="232"/>
  <c r="B117" i="232"/>
  <c r="B118" i="232"/>
  <c r="B119" i="232"/>
  <c r="B120" i="232"/>
  <c r="C92" i="232"/>
  <c r="C93" i="232"/>
  <c r="C94" i="232"/>
  <c r="C95" i="232"/>
  <c r="C96" i="232"/>
  <c r="C97" i="232"/>
  <c r="C98" i="232"/>
  <c r="C99" i="232"/>
  <c r="C100" i="232"/>
  <c r="C101" i="232"/>
  <c r="C102" i="232"/>
  <c r="C103" i="232"/>
  <c r="C104" i="232"/>
  <c r="C105" i="232"/>
  <c r="C106" i="232"/>
  <c r="C107" i="232"/>
  <c r="C108" i="232"/>
  <c r="C109" i="232"/>
  <c r="C110" i="232"/>
  <c r="C111" i="232"/>
  <c r="C112" i="232"/>
  <c r="C113" i="232"/>
  <c r="C114" i="232"/>
  <c r="C115" i="232"/>
  <c r="C116" i="232"/>
  <c r="C117" i="232"/>
  <c r="C118" i="232"/>
  <c r="C119" i="232"/>
  <c r="C120" i="232"/>
  <c r="B43" i="232"/>
  <c r="B44" i="232"/>
  <c r="B45" i="232"/>
  <c r="B46" i="232"/>
  <c r="B47" i="232"/>
  <c r="B48" i="232"/>
  <c r="B49" i="232"/>
  <c r="B50" i="232"/>
  <c r="B51" i="232"/>
  <c r="B52" i="232"/>
  <c r="B53" i="232"/>
  <c r="B54" i="232"/>
  <c r="B55" i="232"/>
  <c r="B56" i="232"/>
  <c r="B57" i="232"/>
  <c r="B58" i="232"/>
  <c r="B59" i="232"/>
  <c r="B60" i="232"/>
  <c r="B61" i="232"/>
  <c r="B62" i="232"/>
  <c r="B63" i="232"/>
  <c r="B64" i="232"/>
  <c r="B65" i="232"/>
  <c r="B66" i="232"/>
  <c r="B67" i="232"/>
  <c r="B68" i="232"/>
  <c r="B69" i="232"/>
  <c r="B70" i="232"/>
  <c r="B71" i="232"/>
  <c r="B128" i="232" l="1"/>
  <c r="B129" i="232"/>
  <c r="B130" i="232"/>
  <c r="B131" i="232"/>
  <c r="B132" i="232"/>
  <c r="B133" i="232"/>
  <c r="B134" i="232"/>
  <c r="B135" i="232"/>
  <c r="B136" i="232"/>
  <c r="B137" i="232"/>
  <c r="B138" i="232"/>
  <c r="B139" i="232"/>
  <c r="B140" i="232"/>
  <c r="B141" i="232"/>
  <c r="B142" i="232"/>
  <c r="B143" i="232"/>
  <c r="B144" i="232"/>
  <c r="B145" i="232"/>
  <c r="B146" i="232"/>
  <c r="B147" i="232"/>
  <c r="B148" i="232"/>
  <c r="B149" i="232"/>
  <c r="B150" i="232"/>
  <c r="B151" i="232"/>
  <c r="B152" i="232"/>
  <c r="B153" i="232"/>
  <c r="B154" i="232"/>
  <c r="B155" i="232"/>
  <c r="B91" i="258" l="1"/>
  <c r="B92" i="258"/>
  <c r="B77" i="258"/>
  <c r="B78" i="258"/>
  <c r="B79" i="258"/>
  <c r="B80" i="258"/>
  <c r="B81" i="258"/>
  <c r="B82" i="258"/>
  <c r="B83" i="258"/>
  <c r="B84" i="258"/>
  <c r="B85" i="258"/>
  <c r="B86" i="258"/>
  <c r="B87" i="258"/>
  <c r="B88" i="258"/>
  <c r="B59" i="258"/>
  <c r="B60" i="258"/>
  <c r="B61" i="258"/>
  <c r="B62" i="258"/>
  <c r="B63" i="258"/>
  <c r="B64" i="258"/>
  <c r="B65" i="258"/>
  <c r="B66" i="258"/>
  <c r="B67" i="258"/>
  <c r="B68" i="258"/>
  <c r="B69" i="258"/>
  <c r="B70" i="258"/>
  <c r="C59" i="258"/>
  <c r="C60" i="258"/>
  <c r="C61" i="258"/>
  <c r="C62" i="258"/>
  <c r="C63" i="258"/>
  <c r="C64" i="258"/>
  <c r="C65" i="258"/>
  <c r="C66" i="258"/>
  <c r="C67" i="258"/>
  <c r="C68" i="258"/>
  <c r="C69" i="258"/>
  <c r="C70" i="258"/>
  <c r="B26" i="258"/>
  <c r="B27" i="258"/>
  <c r="B28" i="258"/>
  <c r="B29" i="258"/>
  <c r="B30" i="258"/>
  <c r="B31" i="258"/>
  <c r="B32" i="258"/>
  <c r="B33" i="258"/>
  <c r="B34" i="258"/>
  <c r="B35" i="258"/>
  <c r="B36" i="258"/>
  <c r="B37" i="258"/>
  <c r="B8" i="66" l="1"/>
  <c r="B90" i="258"/>
  <c r="B76" i="258"/>
  <c r="A75" i="258"/>
  <c r="A74" i="258"/>
  <c r="C71" i="258"/>
  <c r="C58" i="258"/>
  <c r="B58" i="258"/>
  <c r="B54" i="258"/>
  <c r="C46" i="258"/>
  <c r="C45" i="258"/>
  <c r="C44" i="258"/>
  <c r="B42" i="258"/>
  <c r="A41" i="258"/>
  <c r="B25" i="258"/>
  <c r="A24" i="258"/>
  <c r="A21" i="258"/>
  <c r="A20" i="258"/>
  <c r="B64" i="262"/>
  <c r="B65" i="262"/>
  <c r="B66" i="262"/>
  <c r="C31" i="262"/>
  <c r="C32" i="262"/>
  <c r="C33" i="262"/>
  <c r="B57" i="262"/>
  <c r="B58" i="262"/>
  <c r="B59" i="262"/>
  <c r="B60" i="262"/>
  <c r="B61" i="262"/>
  <c r="C46" i="262"/>
  <c r="C47" i="262"/>
  <c r="C48" i="262"/>
  <c r="C49" i="262"/>
  <c r="C50" i="262"/>
  <c r="B46" i="262"/>
  <c r="B47" i="262"/>
  <c r="B48" i="262"/>
  <c r="B49" i="262"/>
  <c r="B50" i="262"/>
  <c r="B19" i="262"/>
  <c r="B20" i="262"/>
  <c r="B21" i="262"/>
  <c r="B22" i="262"/>
  <c r="B23" i="262"/>
  <c r="B63" i="262"/>
  <c r="B56" i="262"/>
  <c r="A55" i="262"/>
  <c r="A54" i="262"/>
  <c r="C51" i="262"/>
  <c r="C45" i="262"/>
  <c r="B45" i="262"/>
  <c r="B41" i="262"/>
  <c r="C30" i="262"/>
  <c r="B28" i="262"/>
  <c r="A27" i="262"/>
  <c r="B18" i="262"/>
  <c r="A17" i="262"/>
  <c r="A14" i="262"/>
  <c r="A13" i="262"/>
  <c r="B94" i="260"/>
  <c r="B93" i="260"/>
  <c r="B91" i="260"/>
  <c r="B90" i="260"/>
  <c r="B89" i="260"/>
  <c r="B88" i="260"/>
  <c r="B87" i="260"/>
  <c r="B86" i="260"/>
  <c r="B85" i="260"/>
  <c r="B84" i="260"/>
  <c r="B83" i="260"/>
  <c r="B82" i="260"/>
  <c r="B81" i="260"/>
  <c r="B80" i="260"/>
  <c r="B79" i="260"/>
  <c r="B78" i="260"/>
  <c r="A77" i="260"/>
  <c r="A76" i="260"/>
  <c r="C73" i="260"/>
  <c r="C72" i="260"/>
  <c r="B72" i="260"/>
  <c r="C71" i="260"/>
  <c r="B71" i="260"/>
  <c r="C70" i="260"/>
  <c r="B70" i="260"/>
  <c r="C69" i="260"/>
  <c r="B69" i="260"/>
  <c r="C68" i="260"/>
  <c r="B68" i="260"/>
  <c r="C67" i="260"/>
  <c r="B67" i="260"/>
  <c r="C66" i="260"/>
  <c r="B66" i="260"/>
  <c r="C65" i="260"/>
  <c r="B65" i="260"/>
  <c r="C64" i="260"/>
  <c r="B64" i="260"/>
  <c r="C63" i="260"/>
  <c r="B63" i="260"/>
  <c r="C62" i="260"/>
  <c r="B62" i="260"/>
  <c r="C61" i="260"/>
  <c r="B61" i="260"/>
  <c r="C60" i="260"/>
  <c r="B60" i="260"/>
  <c r="C59" i="260"/>
  <c r="B59" i="260"/>
  <c r="B55" i="260"/>
  <c r="C47" i="260"/>
  <c r="C46" i="260"/>
  <c r="C45" i="260"/>
  <c r="B43" i="260"/>
  <c r="A42" i="260"/>
  <c r="B38" i="260"/>
  <c r="B37" i="260"/>
  <c r="B36" i="260"/>
  <c r="B35" i="260"/>
  <c r="B34" i="260"/>
  <c r="B33" i="260"/>
  <c r="B32" i="260"/>
  <c r="B31" i="260"/>
  <c r="B30" i="260"/>
  <c r="B29" i="260"/>
  <c r="B28" i="260"/>
  <c r="B27" i="260"/>
  <c r="B26" i="260"/>
  <c r="B25" i="260"/>
  <c r="A24" i="260"/>
  <c r="A21" i="260"/>
  <c r="A20" i="260"/>
  <c r="A3" i="66" a="1"/>
  <c r="A9" i="66" a="1"/>
  <c r="A7" i="66" a="1"/>
  <c r="A10" i="66" a="1"/>
  <c r="A5" i="66" a="1"/>
  <c r="A6" i="66" a="1"/>
  <c r="A4" i="66" a="1"/>
  <c r="A9" i="66" l="1"/>
  <c r="B9" i="66" s="1"/>
  <c r="A10" i="66"/>
  <c r="B10" i="66" s="1"/>
  <c r="A6" i="66"/>
  <c r="B6" i="66" s="1"/>
  <c r="A4" i="66"/>
  <c r="B4" i="66" s="1"/>
  <c r="A7" i="66"/>
  <c r="B7" i="66" s="1"/>
  <c r="A5" i="66"/>
  <c r="B5" i="66" s="1"/>
  <c r="A3" i="66"/>
  <c r="B3" i="66" s="1"/>
  <c r="B128" i="229"/>
  <c r="B129" i="229"/>
  <c r="B130" i="229"/>
  <c r="B131" i="229"/>
  <c r="B132" i="229"/>
  <c r="B133" i="229"/>
  <c r="B134" i="229"/>
  <c r="B135" i="229"/>
  <c r="B136" i="229"/>
  <c r="B137" i="229"/>
  <c r="B138" i="229"/>
  <c r="B139" i="229"/>
  <c r="B140" i="229"/>
  <c r="B141" i="229"/>
  <c r="B142" i="229"/>
  <c r="B143" i="229"/>
  <c r="B144" i="229"/>
  <c r="B145" i="229"/>
  <c r="B146" i="229"/>
  <c r="B147" i="229"/>
  <c r="B148" i="229"/>
  <c r="B149" i="229"/>
  <c r="B150" i="229"/>
  <c r="B151" i="229"/>
  <c r="B152" i="229"/>
  <c r="B153" i="229"/>
  <c r="B154" i="229"/>
  <c r="B155" i="229"/>
  <c r="B156" i="229"/>
  <c r="C93" i="229"/>
  <c r="C94" i="229"/>
  <c r="C95" i="229"/>
  <c r="C96" i="229"/>
  <c r="C97" i="229"/>
  <c r="C98" i="229"/>
  <c r="C99" i="229"/>
  <c r="C100" i="229"/>
  <c r="C101" i="229"/>
  <c r="C102" i="229"/>
  <c r="C103" i="229"/>
  <c r="C104" i="229"/>
  <c r="C105" i="229"/>
  <c r="C106" i="229"/>
  <c r="C107" i="229"/>
  <c r="C108" i="229"/>
  <c r="C109" i="229"/>
  <c r="C110" i="229"/>
  <c r="C111" i="229"/>
  <c r="C112" i="229"/>
  <c r="C113" i="229"/>
  <c r="C114" i="229"/>
  <c r="C115" i="229"/>
  <c r="C116" i="229"/>
  <c r="C117" i="229"/>
  <c r="C118" i="229"/>
  <c r="C119" i="229"/>
  <c r="C120" i="229"/>
  <c r="C121" i="229"/>
  <c r="B93" i="229"/>
  <c r="B94" i="229"/>
  <c r="B95" i="229"/>
  <c r="B96" i="229"/>
  <c r="B97" i="229"/>
  <c r="B98" i="229"/>
  <c r="B99" i="229"/>
  <c r="B100" i="229"/>
  <c r="B101" i="229"/>
  <c r="B102" i="229"/>
  <c r="B103" i="229"/>
  <c r="B104" i="229"/>
  <c r="B105" i="229"/>
  <c r="B106" i="229"/>
  <c r="B107" i="229"/>
  <c r="B108" i="229"/>
  <c r="B109" i="229"/>
  <c r="B110" i="229"/>
  <c r="B111" i="229"/>
  <c r="B112" i="229"/>
  <c r="B113" i="229"/>
  <c r="B114" i="229"/>
  <c r="B115" i="229"/>
  <c r="B116" i="229"/>
  <c r="B117" i="229"/>
  <c r="B118" i="229"/>
  <c r="B119" i="229"/>
  <c r="B120" i="229"/>
  <c r="B121" i="229"/>
  <c r="B43" i="229"/>
  <c r="B44" i="229"/>
  <c r="B45" i="229"/>
  <c r="B46" i="229"/>
  <c r="B47" i="229"/>
  <c r="B48" i="229"/>
  <c r="B49" i="229"/>
  <c r="B50" i="229"/>
  <c r="B51" i="229"/>
  <c r="B52" i="229"/>
  <c r="B53" i="229"/>
  <c r="B54" i="229"/>
  <c r="B55" i="229"/>
  <c r="B56" i="229"/>
  <c r="B57" i="229"/>
  <c r="B58" i="229"/>
  <c r="B59" i="229"/>
  <c r="B60" i="229"/>
  <c r="B61" i="229"/>
  <c r="B62" i="229"/>
  <c r="B63" i="229"/>
  <c r="B64" i="229"/>
  <c r="B65" i="229"/>
  <c r="B66" i="229"/>
  <c r="B67" i="229"/>
  <c r="B68" i="229"/>
  <c r="B69" i="229"/>
  <c r="B70" i="229"/>
  <c r="B71" i="229"/>
  <c r="B86" i="259"/>
  <c r="B87" i="259"/>
  <c r="B42" i="259" l="1"/>
  <c r="B43" i="259"/>
  <c r="B44" i="259"/>
  <c r="B45" i="259"/>
  <c r="B46" i="259"/>
  <c r="B47" i="259"/>
  <c r="C66" i="259"/>
  <c r="C67" i="259"/>
  <c r="C68" i="259"/>
  <c r="C69" i="259"/>
  <c r="C70" i="259"/>
  <c r="C71" i="259"/>
  <c r="B66" i="259"/>
  <c r="B67" i="259"/>
  <c r="B68" i="259"/>
  <c r="B69" i="259"/>
  <c r="B70" i="259"/>
  <c r="B71" i="259"/>
  <c r="B85" i="259"/>
  <c r="B83" i="259"/>
  <c r="B82" i="259"/>
  <c r="B81" i="259"/>
  <c r="B80" i="259"/>
  <c r="B79" i="259"/>
  <c r="B78" i="259"/>
  <c r="B77" i="259"/>
  <c r="A76" i="259"/>
  <c r="A75" i="259"/>
  <c r="C72" i="259"/>
  <c r="C65" i="259"/>
  <c r="B65" i="259"/>
  <c r="B61" i="259"/>
  <c r="C56" i="259"/>
  <c r="C55" i="259"/>
  <c r="C54" i="259"/>
  <c r="B52" i="259"/>
  <c r="A51" i="259"/>
  <c r="B41" i="259"/>
  <c r="A40" i="259"/>
  <c r="A37" i="259"/>
  <c r="A36" i="259"/>
  <c r="B158" i="232" l="1"/>
  <c r="B159" i="232"/>
  <c r="B160" i="232"/>
  <c r="C79" i="232"/>
  <c r="C80" i="232"/>
  <c r="C81" i="232"/>
  <c r="C55" i="257"/>
  <c r="C56" i="257"/>
  <c r="B31" i="257"/>
  <c r="B32" i="257"/>
  <c r="B33" i="257"/>
  <c r="B34" i="257"/>
  <c r="B35" i="257"/>
  <c r="B36" i="257"/>
  <c r="B37" i="257"/>
  <c r="B38" i="257"/>
  <c r="B39" i="257"/>
  <c r="B40" i="257"/>
  <c r="B41" i="257"/>
  <c r="B42" i="257"/>
  <c r="B43" i="257"/>
  <c r="B44" i="257"/>
  <c r="B45" i="257"/>
  <c r="B46" i="257"/>
  <c r="B47" i="257"/>
  <c r="B66" i="257"/>
  <c r="B67" i="257"/>
  <c r="B68" i="257"/>
  <c r="B69" i="257"/>
  <c r="B70" i="257"/>
  <c r="B71" i="257"/>
  <c r="B72" i="257"/>
  <c r="B73" i="257"/>
  <c r="B74" i="257"/>
  <c r="B75" i="257"/>
  <c r="B76" i="257"/>
  <c r="B77" i="257"/>
  <c r="B78" i="257"/>
  <c r="B79" i="257"/>
  <c r="B80" i="257"/>
  <c r="B81" i="257"/>
  <c r="B82" i="257"/>
  <c r="C66" i="257"/>
  <c r="C67" i="257"/>
  <c r="C68" i="257"/>
  <c r="C69" i="257"/>
  <c r="C70" i="257"/>
  <c r="C71" i="257"/>
  <c r="C72" i="257"/>
  <c r="C73" i="257"/>
  <c r="C74" i="257"/>
  <c r="C75" i="257"/>
  <c r="C76" i="257"/>
  <c r="C77" i="257"/>
  <c r="C78" i="257"/>
  <c r="C79" i="257"/>
  <c r="C80" i="257"/>
  <c r="C81" i="257"/>
  <c r="C82" i="257"/>
  <c r="B111" i="257"/>
  <c r="B112" i="257"/>
  <c r="B92" i="257"/>
  <c r="B93" i="257"/>
  <c r="B94" i="257"/>
  <c r="B95" i="257"/>
  <c r="B96" i="257"/>
  <c r="B97" i="257"/>
  <c r="B98" i="257"/>
  <c r="B99" i="257"/>
  <c r="B100" i="257"/>
  <c r="B101" i="257"/>
  <c r="B102" i="257"/>
  <c r="B103" i="257"/>
  <c r="B104" i="257"/>
  <c r="B105" i="257"/>
  <c r="B106" i="257"/>
  <c r="B107" i="257"/>
  <c r="B108" i="257"/>
  <c r="B110" i="257"/>
  <c r="B91" i="257"/>
  <c r="A90" i="257"/>
  <c r="A89" i="257"/>
  <c r="C65" i="257"/>
  <c r="B65" i="257"/>
  <c r="B61" i="257"/>
  <c r="C57" i="257"/>
  <c r="C54" i="257"/>
  <c r="B52" i="257"/>
  <c r="A51" i="257"/>
  <c r="B30" i="257"/>
  <c r="A29" i="257"/>
  <c r="A26" i="257"/>
  <c r="A25" i="257"/>
  <c r="B77" i="231" l="1"/>
  <c r="B78" i="231"/>
  <c r="B79" i="231"/>
  <c r="B66" i="231"/>
  <c r="B67" i="231"/>
  <c r="B68" i="231"/>
  <c r="B69" i="231"/>
  <c r="B70" i="231"/>
  <c r="B71" i="231"/>
  <c r="B72" i="231"/>
  <c r="B73" i="231"/>
  <c r="B74" i="231"/>
  <c r="B50" i="231"/>
  <c r="B51" i="231"/>
  <c r="B52" i="231"/>
  <c r="B53" i="231"/>
  <c r="B54" i="231"/>
  <c r="B55" i="231"/>
  <c r="B56" i="231"/>
  <c r="B57" i="231"/>
  <c r="B58" i="231"/>
  <c r="C50" i="231"/>
  <c r="C51" i="231"/>
  <c r="C52" i="231"/>
  <c r="C53" i="231"/>
  <c r="C54" i="231"/>
  <c r="C55" i="231"/>
  <c r="C56" i="231"/>
  <c r="C57" i="231"/>
  <c r="C58" i="231"/>
  <c r="C39" i="231"/>
  <c r="C40" i="231"/>
  <c r="C41" i="231"/>
  <c r="B23" i="231"/>
  <c r="B24" i="231"/>
  <c r="B25" i="231"/>
  <c r="B26" i="231"/>
  <c r="B27" i="231"/>
  <c r="B28" i="231"/>
  <c r="B29" i="231"/>
  <c r="B30" i="231"/>
  <c r="B31" i="231"/>
  <c r="A74" i="237" l="1"/>
  <c r="A125" i="232"/>
  <c r="A77" i="244"/>
  <c r="B95" i="244" l="1"/>
  <c r="B94" i="244"/>
  <c r="B92" i="244"/>
  <c r="B91" i="244"/>
  <c r="B90" i="244"/>
  <c r="B89" i="244"/>
  <c r="B88" i="244"/>
  <c r="B87" i="244"/>
  <c r="B86" i="244"/>
  <c r="B85" i="244"/>
  <c r="B84" i="244"/>
  <c r="B83" i="244"/>
  <c r="B82" i="244"/>
  <c r="B81" i="244"/>
  <c r="B80" i="244"/>
  <c r="B79" i="244"/>
  <c r="A78" i="244"/>
  <c r="C74" i="244"/>
  <c r="C73" i="244"/>
  <c r="B73" i="244"/>
  <c r="C72" i="244"/>
  <c r="B72" i="244"/>
  <c r="C71" i="244"/>
  <c r="B71" i="244"/>
  <c r="C70" i="244"/>
  <c r="B70" i="244"/>
  <c r="C69" i="244"/>
  <c r="B69" i="244"/>
  <c r="C68" i="244"/>
  <c r="B68" i="244"/>
  <c r="C67" i="244"/>
  <c r="B67" i="244"/>
  <c r="C66" i="244"/>
  <c r="B66" i="244"/>
  <c r="C65" i="244"/>
  <c r="B65" i="244"/>
  <c r="C64" i="244"/>
  <c r="B64" i="244"/>
  <c r="C63" i="244"/>
  <c r="B63" i="244"/>
  <c r="C62" i="244"/>
  <c r="B62" i="244"/>
  <c r="C61" i="244"/>
  <c r="B61" i="244"/>
  <c r="C60" i="244"/>
  <c r="B60" i="244"/>
  <c r="B56" i="244"/>
  <c r="C48" i="244"/>
  <c r="C47" i="244"/>
  <c r="C46" i="244"/>
  <c r="B44" i="244"/>
  <c r="A43" i="244"/>
  <c r="B39" i="244"/>
  <c r="B38" i="244"/>
  <c r="B37" i="244"/>
  <c r="B36" i="244"/>
  <c r="B35" i="244"/>
  <c r="B34" i="244"/>
  <c r="B33" i="244"/>
  <c r="B32" i="244"/>
  <c r="B31" i="244"/>
  <c r="B30" i="244"/>
  <c r="B29" i="244"/>
  <c r="B28" i="244"/>
  <c r="B27" i="244"/>
  <c r="B26" i="244"/>
  <c r="A25" i="244"/>
  <c r="A22" i="244"/>
  <c r="A21" i="244"/>
  <c r="B159" i="229"/>
  <c r="C92" i="229"/>
  <c r="B92" i="229"/>
  <c r="B88" i="229"/>
  <c r="C79" i="229"/>
  <c r="B90" i="237" l="1"/>
  <c r="B88" i="237"/>
  <c r="B94" i="237"/>
  <c r="B92" i="237"/>
  <c r="B91" i="237"/>
  <c r="B87" i="237"/>
  <c r="B86" i="237"/>
  <c r="B85" i="237"/>
  <c r="B84" i="237"/>
  <c r="B83" i="237"/>
  <c r="B82" i="237"/>
  <c r="B81" i="237"/>
  <c r="B80" i="237"/>
  <c r="B79" i="237"/>
  <c r="B78" i="237"/>
  <c r="B77" i="237"/>
  <c r="B76" i="237"/>
  <c r="A75" i="237"/>
  <c r="B157" i="232"/>
  <c r="B127" i="232"/>
  <c r="A126" i="232"/>
  <c r="B76" i="231"/>
  <c r="B65" i="231"/>
  <c r="A64" i="231"/>
  <c r="A63" i="231"/>
  <c r="B158" i="229"/>
  <c r="B127" i="229"/>
  <c r="A126" i="229"/>
  <c r="A125" i="229"/>
  <c r="C122" i="229"/>
  <c r="C58" i="237" l="1"/>
  <c r="C59" i="237"/>
  <c r="C60" i="237"/>
  <c r="C61" i="237"/>
  <c r="C62" i="237"/>
  <c r="C63" i="237"/>
  <c r="C64" i="237"/>
  <c r="C65" i="237"/>
  <c r="C66" i="237"/>
  <c r="C67" i="237"/>
  <c r="C68" i="237"/>
  <c r="C69" i="237"/>
  <c r="B58" i="237"/>
  <c r="B59" i="237"/>
  <c r="B60" i="237"/>
  <c r="B61" i="237"/>
  <c r="B62" i="237"/>
  <c r="B63" i="237"/>
  <c r="B64" i="237"/>
  <c r="B65" i="237"/>
  <c r="B66" i="237"/>
  <c r="B67" i="237"/>
  <c r="B68" i="237"/>
  <c r="B69" i="237"/>
  <c r="B26" i="237"/>
  <c r="B27" i="237"/>
  <c r="B28" i="237"/>
  <c r="B29" i="237"/>
  <c r="B30" i="237"/>
  <c r="B31" i="237"/>
  <c r="B32" i="237"/>
  <c r="B33" i="237"/>
  <c r="B34" i="237"/>
  <c r="B35" i="237"/>
  <c r="B36" i="237"/>
  <c r="B37" i="237"/>
  <c r="C57" i="237" l="1"/>
  <c r="B57" i="237"/>
  <c r="B53" i="237"/>
  <c r="C46" i="237"/>
  <c r="C45" i="237"/>
  <c r="C44" i="237"/>
  <c r="B42" i="237"/>
  <c r="A41" i="237"/>
  <c r="B25" i="237"/>
  <c r="A24" i="237"/>
  <c r="A21" i="237"/>
  <c r="A20" i="237"/>
  <c r="C91" i="232" l="1"/>
  <c r="C49" i="231"/>
  <c r="B91" i="232" l="1"/>
  <c r="B87" i="232"/>
  <c r="C78" i="232"/>
  <c r="B76" i="232"/>
  <c r="A75" i="232"/>
  <c r="B42" i="232"/>
  <c r="A41" i="232"/>
  <c r="A38" i="232"/>
  <c r="A37" i="232"/>
  <c r="B49" i="231"/>
  <c r="B45" i="231"/>
  <c r="C38" i="231"/>
  <c r="B36" i="231"/>
  <c r="A35" i="231"/>
  <c r="B22" i="231"/>
  <c r="A21" i="231"/>
  <c r="A18" i="231"/>
  <c r="A17" i="231"/>
  <c r="C80" i="229" l="1"/>
  <c r="C78" i="229"/>
  <c r="B76" i="229"/>
  <c r="A75" i="229"/>
  <c r="B42" i="229"/>
  <c r="A41" i="229"/>
  <c r="A38" i="229"/>
  <c r="A37" i="229"/>
  <c r="A2" i="66" a="1"/>
  <c r="A2" i="66" l="1"/>
  <c r="B2" i="66" s="1"/>
</calcChain>
</file>

<file path=xl/sharedStrings.xml><?xml version="1.0" encoding="utf-8"?>
<sst xmlns="http://schemas.openxmlformats.org/spreadsheetml/2006/main" count="1856" uniqueCount="250">
  <si>
    <t>Field Name</t>
  </si>
  <si>
    <t>Data Type</t>
  </si>
  <si>
    <t>Primary Key</t>
  </si>
  <si>
    <t>Foreign Key</t>
  </si>
  <si>
    <t>Nullable</t>
  </si>
  <si>
    <t>Default</t>
  </si>
  <si>
    <t>Description</t>
  </si>
  <si>
    <t>varchar</t>
  </si>
  <si>
    <t>Table</t>
  </si>
  <si>
    <t>datetime</t>
  </si>
  <si>
    <t>Scripts</t>
  </si>
  <si>
    <t>GO</t>
  </si>
  <si>
    <t>) ON [PRIMARY]</t>
  </si>
  <si>
    <t>(</t>
  </si>
  <si>
    <t>)  ON [PRIMARY]</t>
  </si>
  <si>
    <t>Length</t>
  </si>
  <si>
    <t>Identity</t>
  </si>
  <si>
    <t>Sheet</t>
  </si>
  <si>
    <t>back to list</t>
  </si>
  <si>
    <t>int</t>
  </si>
  <si>
    <t>nvarchar</t>
  </si>
  <si>
    <t>ngay_tao</t>
  </si>
  <si>
    <t>nguoi_tao</t>
  </si>
  <si>
    <t>ngay_cap_nhat</t>
  </si>
  <si>
    <t>nguoi_cap_nhat</t>
  </si>
  <si>
    <t>id</t>
  </si>
  <si>
    <t>ma_gian_hang</t>
  </si>
  <si>
    <t>ten_gian_hang</t>
  </si>
  <si>
    <t>ten_viet_tat</t>
  </si>
  <si>
    <t>ten_tieng_anh</t>
  </si>
  <si>
    <t>website</t>
  </si>
  <si>
    <t>dien_thoai</t>
  </si>
  <si>
    <t>email</t>
  </si>
  <si>
    <t>fax</t>
  </si>
  <si>
    <t>dia_chi_tru_so</t>
  </si>
  <si>
    <t>ngay_hoat_dong</t>
  </si>
  <si>
    <t>ly_do_giay_to_phap_ly</t>
  </si>
  <si>
    <t>tai_khoan_thanh_toan</t>
  </si>
  <si>
    <t>dao_tao_quan_ly</t>
  </si>
  <si>
    <t>trang_thai_xuat_ban</t>
  </si>
  <si>
    <t>trang_thai_duyet</t>
  </si>
  <si>
    <t>nguoi_duyet</t>
  </si>
  <si>
    <t>ngay_duyet</t>
  </si>
  <si>
    <t>mo_ta</t>
  </si>
  <si>
    <t xml:space="preserve"> { get; set; }</t>
  </si>
  <si>
    <t xml:space="preserve"> public class </t>
  </si>
  <si>
    <t xml:space="preserve">    {</t>
  </si>
  <si>
    <t xml:space="preserve"> [AutoIncrement]</t>
  </si>
  <si>
    <t>[PrimaryKey]</t>
  </si>
  <si>
    <t>public</t>
  </si>
  <si>
    <t>}</t>
  </si>
  <si>
    <t>trang_thai</t>
  </si>
  <si>
    <t>ma_san_pham</t>
  </si>
  <si>
    <t>ma_loai_san_pham</t>
  </si>
  <si>
    <t>ten_san_pham</t>
  </si>
  <si>
    <t>trong_so</t>
  </si>
  <si>
    <t>float</t>
  </si>
  <si>
    <t>ma_thong_so</t>
  </si>
  <si>
    <t>fk_san_pham_gian_hang</t>
  </si>
  <si>
    <t>pk_gia</t>
  </si>
  <si>
    <t>don_gia</t>
  </si>
  <si>
    <t>ton_kho</t>
  </si>
  <si>
    <t>don_gia_khuyen_mai</t>
  </si>
  <si>
    <t>trang_thai_khuyen_mai</t>
  </si>
  <si>
    <t>trang_thai_khuyen_mai_tang_qua</t>
  </si>
  <si>
    <t>phan_tram_khuyen_mai</t>
  </si>
  <si>
    <t>ten_quan_huyen</t>
  </si>
  <si>
    <t>ma_quan_huyen</t>
  </si>
  <si>
    <t>ma_tinh_tp</t>
  </si>
  <si>
    <t>ten_tinh_tp</t>
  </si>
  <si>
    <t>ngay_ky_hop_dong</t>
  </si>
  <si>
    <t>ngay_tiep_xuc</t>
  </si>
  <si>
    <t>MySQL DB</t>
  </si>
  <si>
    <t>)ENGINE = InnoDB;</t>
  </si>
  <si>
    <t>, PRIMARY KEY(</t>
  </si>
  <si>
    <t>)</t>
  </si>
  <si>
    <t>Status</t>
  </si>
  <si>
    <t>Reviewed</t>
  </si>
  <si>
    <t>Note</t>
  </si>
  <si>
    <t>Merchant_Info</t>
  </si>
  <si>
    <t>ten_nguoi_lien_he</t>
  </si>
  <si>
    <t>danh_xung</t>
  </si>
  <si>
    <t>Ông, bà, anh chị</t>
  </si>
  <si>
    <t>so_dien_thoai</t>
  </si>
  <si>
    <t>chuc_vu</t>
  </si>
  <si>
    <t>quan_tri_gian_hang</t>
  </si>
  <si>
    <t>bit</t>
  </si>
  <si>
    <t>1: là người chịu trách nhiệm cho gian hàng</t>
  </si>
  <si>
    <t>ghi_chi</t>
  </si>
  <si>
    <t>Merchant_Config</t>
  </si>
  <si>
    <t>Merchant_Product</t>
  </si>
  <si>
    <t>Merchant_Product_Price</t>
  </si>
  <si>
    <t>ngay_ket_thuc</t>
  </si>
  <si>
    <t>ngay_bat_dau</t>
  </si>
  <si>
    <t>PA</t>
  </si>
  <si>
    <t>ma_cay_phan_cap_1</t>
  </si>
  <si>
    <t>ma_cay_phan_cap_2</t>
  </si>
  <si>
    <t>ma_cay_phan_cap_3</t>
  </si>
  <si>
    <t>ma_cay_phan_cap_4</t>
  </si>
  <si>
    <t>ma_cay_phan_cap_5</t>
  </si>
  <si>
    <t>ma_cay_phan_cap_6</t>
  </si>
  <si>
    <t>ma_cay_phan_cap_7</t>
  </si>
  <si>
    <t>ma_cay_phan_cap_8</t>
  </si>
  <si>
    <t>ma_cay_phan_cap_9</t>
  </si>
  <si>
    <t>ma_cay_phan_cap_10</t>
  </si>
  <si>
    <t>gia_tri</t>
  </si>
  <si>
    <t>ma_thuoc_tinh</t>
  </si>
  <si>
    <t>Merchant_Product_Property</t>
  </si>
  <si>
    <t>Thông tin gian hàng</t>
  </si>
  <si>
    <t>Cấu hình gian hàng</t>
  </si>
  <si>
    <t>BAOHV</t>
  </si>
  <si>
    <t>Cây phân cấp sản phẩm thuộc gian hàng</t>
  </si>
  <si>
    <t>Thông tin sản phẩm thuộc gian hàng</t>
  </si>
  <si>
    <t>Thông tin giá sản phẩm thuộc gian hàng</t>
  </si>
  <si>
    <t>Thông tin thuộc tính của sản phẩm thuộc gian hàng</t>
  </si>
  <si>
    <t>Cần được review</t>
  </si>
  <si>
    <t>Thông tin khuyến mãi của sản phẩm gian hàng</t>
  </si>
  <si>
    <t>Person</t>
  </si>
  <si>
    <t>MAX</t>
  </si>
  <si>
    <t>Merchant_Product_Hierarchy</t>
  </si>
  <si>
    <t>ten_bang</t>
  </si>
  <si>
    <t>Merchant_History</t>
  </si>
  <si>
    <t>trang_thai_xac_thuc</t>
  </si>
  <si>
    <t>ma_chuong_trinh_km</t>
  </si>
  <si>
    <t>ten_chuong_trinh_km</t>
  </si>
  <si>
    <t>loai</t>
  </si>
  <si>
    <t>Merchant_Promotion</t>
  </si>
  <si>
    <t>Merchant_Product_Promotion_Detail</t>
  </si>
  <si>
    <t>phần trăm, tiền</t>
  </si>
  <si>
    <t>Merchant_Product_Promotion</t>
  </si>
  <si>
    <t>gia_si</t>
  </si>
  <si>
    <t>ngay_xuat_ban</t>
  </si>
  <si>
    <t>nguoi_xuat_ban</t>
  </si>
  <si>
    <t>tag</t>
  </si>
  <si>
    <t>slug</t>
  </si>
  <si>
    <t>tu_khoa</t>
  </si>
  <si>
    <t>url</t>
  </si>
  <si>
    <t>xuat_xu</t>
  </si>
  <si>
    <t>thuong_hieu</t>
  </si>
  <si>
    <t>model</t>
  </si>
  <si>
    <t>minimum_order</t>
  </si>
  <si>
    <t>part_no</t>
  </si>
  <si>
    <t>noi_dung</t>
  </si>
  <si>
    <t>Merchant_Product_Image</t>
  </si>
  <si>
    <t>ma_anh_goc</t>
  </si>
  <si>
    <t>Merchant_Voucher</t>
  </si>
  <si>
    <t>DUONG</t>
  </si>
  <si>
    <t>Dương</t>
  </si>
  <si>
    <t>Merchant_Image_Info</t>
  </si>
  <si>
    <t>DUYNH</t>
  </si>
  <si>
    <t>Merchant_Forder_Info</t>
  </si>
  <si>
    <t>Merchant_WareHouse</t>
  </si>
  <si>
    <t>Merchant_StockInHeader</t>
  </si>
  <si>
    <t>dia_diem</t>
  </si>
  <si>
    <t>ma_nhap_kho</t>
  </si>
  <si>
    <t>ma_kho</t>
  </si>
  <si>
    <t>nguoi_giao</t>
  </si>
  <si>
    <t>nguoi_kiem_tra</t>
  </si>
  <si>
    <t>thu_kho</t>
  </si>
  <si>
    <t>tong_so_tien</t>
  </si>
  <si>
    <t>ghi_chu</t>
  </si>
  <si>
    <t>ma_phieu_nhap_kho</t>
  </si>
  <si>
    <t>don_vi_tinh</t>
  </si>
  <si>
    <t>so_luong_yeu_cau</t>
  </si>
  <si>
    <t>thanh_tien</t>
  </si>
  <si>
    <t>Merchant_StockInDetail</t>
  </si>
  <si>
    <t>ngay_nhap_kho</t>
  </si>
  <si>
    <t>Ngày nhập thực tế</t>
  </si>
  <si>
    <t>ten_kho</t>
  </si>
  <si>
    <t>dia_chi</t>
  </si>
  <si>
    <t>phone</t>
  </si>
  <si>
    <t>ma_chung_tu</t>
  </si>
  <si>
    <t>vi_tri</t>
  </si>
  <si>
    <t>ma_xuat_kho</t>
  </si>
  <si>
    <t>ma_phieu_xuat_kho</t>
  </si>
  <si>
    <t>nguoi_nhan</t>
  </si>
  <si>
    <t>ngay_xuat_kho</t>
  </si>
  <si>
    <t>nguoi_xuat</t>
  </si>
  <si>
    <t>so_luong_thuc_te</t>
  </si>
  <si>
    <t>Ngày xuat thực tế</t>
  </si>
  <si>
    <t>Merchant_StockOutHeader</t>
  </si>
  <si>
    <t>Merchant_StockOutDetail</t>
  </si>
  <si>
    <t>Merchant_LocationWarehouse</t>
  </si>
  <si>
    <t>ten_vi_tri</t>
  </si>
  <si>
    <t>[trang_thai] [varchar] (2) NOT NULL</t>
  </si>
  <si>
    <t>Merchant_DetailLocation</t>
  </si>
  <si>
    <t>so_luong</t>
  </si>
  <si>
    <t>don_vi</t>
  </si>
  <si>
    <t>[don_vi] [varchar] (10) NOTNULL</t>
  </si>
  <si>
    <t>[so_luong] [int] NOT NULL,</t>
  </si>
  <si>
    <t>[ten_kho],</t>
  </si>
  <si>
    <t>[ten_vi_tri]</t>
  </si>
  <si>
    <t>Merchant_OrderHeader</t>
  </si>
  <si>
    <t>ma_don_hang</t>
  </si>
  <si>
    <t>Merchant_OrderHeaderDetail</t>
  </si>
  <si>
    <t>Merchant_OrderDetail</t>
  </si>
  <si>
    <t>Thông tin chung đơn hàng tổng chứa sản phẩm của nhiều gian hàng</t>
  </si>
  <si>
    <t>Thông tin chung đơn hang chứa sản phẩm của 1 gian hàng</t>
  </si>
  <si>
    <t>Thông tin về các sản phẩm trong đơn hàng của gian hàng</t>
  </si>
  <si>
    <t>ma_khach_hang</t>
  </si>
  <si>
    <t>dia_chi_giao_hang</t>
  </si>
  <si>
    <t>quan_huyen_giao</t>
  </si>
  <si>
    <t>tinh_thanh_giao</t>
  </si>
  <si>
    <t>so_dien_thoai_giao</t>
  </si>
  <si>
    <t>hinh_thuc_thanh_toan</t>
  </si>
  <si>
    <t>khuyen_mai</t>
  </si>
  <si>
    <t>sp_khuyen_mai</t>
  </si>
  <si>
    <t>so_loai_san_pham</t>
  </si>
  <si>
    <t>so_luong_san_pham</t>
  </si>
  <si>
    <t>so_luong_khuyen_mai</t>
  </si>
  <si>
    <t>tong_tien_don_hang</t>
  </si>
  <si>
    <t>tong_tien_khuyen_mai</t>
  </si>
  <si>
    <t>tong_tien_thanh_toan</t>
  </si>
  <si>
    <t>trang_thai_don_hang</t>
  </si>
  <si>
    <t>ngay_xac_nhan</t>
  </si>
  <si>
    <t>ngay_lay_hang</t>
  </si>
  <si>
    <t>ngay_giao_hang</t>
  </si>
  <si>
    <t>hoten</t>
  </si>
  <si>
    <t>Order_Merchants</t>
  </si>
  <si>
    <t>BrandManagement</t>
  </si>
  <si>
    <t>ma_thuong_hieu</t>
  </si>
  <si>
    <t>ten_thuong_hieu</t>
  </si>
  <si>
    <t>logo</t>
  </si>
  <si>
    <t>ma_footer</t>
  </si>
  <si>
    <t>url_link</t>
  </si>
  <si>
    <t>image_link</t>
  </si>
  <si>
    <t>FooterManagement</t>
  </si>
  <si>
    <t>ma</t>
  </si>
  <si>
    <t>ten_footer</t>
  </si>
  <si>
    <t>levels</t>
  </si>
  <si>
    <t>orders</t>
  </si>
  <si>
    <t>hinh_anh</t>
  </si>
  <si>
    <t>boolean</t>
  </si>
  <si>
    <t>HeaderFooterMgnt</t>
  </si>
  <si>
    <t>website_id</t>
  </si>
  <si>
    <t>title</t>
  </si>
  <si>
    <t>[content]</t>
  </si>
  <si>
    <t>active</t>
  </si>
  <si>
    <t>createdAt</t>
  </si>
  <si>
    <t>createdBy</t>
  </si>
  <si>
    <t>updatedAt</t>
  </si>
  <si>
    <t>updatedBy</t>
  </si>
  <si>
    <t>allUser</t>
  </si>
  <si>
    <t>isDefault</t>
  </si>
  <si>
    <t>companycode</t>
  </si>
  <si>
    <t>postnotifycode</t>
  </si>
  <si>
    <t>hashtagcode</t>
  </si>
  <si>
    <t>ngay_thong_bao</t>
  </si>
  <si>
    <t>ma_website</t>
  </si>
  <si>
    <t>bigint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</si>
</sst>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b/>
      <sz val="10"/>
      <color theme="0"/>
      <name val="Tahoma"/>
      <family val="2"/>
    </font>
    <font>
      <u/>
      <sz val="10"/>
      <color theme="10"/>
      <name val="Tahoma"/>
      <family val="2"/>
    </font>
    <font>
      <b/>
      <sz val="10"/>
      <color theme="1"/>
      <name val="Tahoma"/>
      <family val="2"/>
    </font>
    <font>
      <b/>
      <u/>
      <sz val="10"/>
      <color theme="10"/>
      <name val="Tahoma"/>
      <family val="2"/>
    </font>
    <font>
      <sz val="9.5"/>
      <color rgb="FF000000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4506668294322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6" fillId="0" borderId="0"/>
  </cellStyleXfs>
  <cellXfs count="62">
    <xf numFmtId="0" fontId="0" fillId="0" borderId="0" xfId="0"/>
    <xf numFmtId="0" fontId="0" fillId="2" borderId="0" xfId="0" applyFill="1"/>
    <xf numFmtId="0" fontId="8" fillId="0" borderId="0" xfId="0" applyFont="1"/>
    <xf numFmtId="0" fontId="7" fillId="0" borderId="0" xfId="0" applyFont="1"/>
    <xf numFmtId="49" fontId="7" fillId="0" borderId="0" xfId="0" applyNumberFormat="1" applyFont="1" applyAlignment="1">
      <alignment horizontal="center"/>
    </xf>
    <xf numFmtId="0" fontId="8" fillId="3" borderId="0" xfId="0" applyFont="1" applyFill="1" applyBorder="1"/>
    <xf numFmtId="0" fontId="7" fillId="3" borderId="0" xfId="0" applyFont="1" applyFill="1" applyBorder="1"/>
    <xf numFmtId="49" fontId="7" fillId="3" borderId="0" xfId="0" applyNumberFormat="1" applyFont="1" applyFill="1" applyBorder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3" borderId="3" xfId="0" quotePrefix="1" applyFont="1" applyFill="1" applyBorder="1"/>
    <xf numFmtId="0" fontId="8" fillId="3" borderId="4" xfId="0" applyFont="1" applyFill="1" applyBorder="1"/>
    <xf numFmtId="0" fontId="8" fillId="3" borderId="5" xfId="0" applyFont="1" applyFill="1" applyBorder="1"/>
    <xf numFmtId="0" fontId="7" fillId="3" borderId="5" xfId="0" applyFont="1" applyFill="1" applyBorder="1"/>
    <xf numFmtId="49" fontId="7" fillId="3" borderId="5" xfId="0" applyNumberFormat="1" applyFont="1" applyFill="1" applyBorder="1" applyAlignment="1">
      <alignment horizontal="center"/>
    </xf>
    <xf numFmtId="0" fontId="8" fillId="3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7" fillId="0" borderId="5" xfId="0" applyFont="1" applyBorder="1"/>
    <xf numFmtId="0" fontId="9" fillId="4" borderId="9" xfId="0" applyFont="1" applyFill="1" applyBorder="1"/>
    <xf numFmtId="0" fontId="9" fillId="4" borderId="10" xfId="0" applyFont="1" applyFill="1" applyBorder="1"/>
    <xf numFmtId="0" fontId="9" fillId="4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Font="1" applyBorder="1"/>
    <xf numFmtId="0" fontId="12" fillId="6" borderId="0" xfId="1" applyFont="1" applyFill="1"/>
    <xf numFmtId="0" fontId="0" fillId="0" borderId="10" xfId="0" applyFont="1" applyBorder="1" applyAlignment="1">
      <alignment horizontal="right"/>
    </xf>
    <xf numFmtId="0" fontId="0" fillId="0" borderId="13" xfId="0" applyFont="1" applyBorder="1"/>
    <xf numFmtId="0" fontId="0" fillId="0" borderId="13" xfId="0" applyFont="1" applyBorder="1" applyAlignment="1">
      <alignment horizontal="right"/>
    </xf>
    <xf numFmtId="0" fontId="0" fillId="0" borderId="14" xfId="0" applyFont="1" applyBorder="1"/>
    <xf numFmtId="0" fontId="0" fillId="0" borderId="15" xfId="0" applyFont="1" applyBorder="1"/>
    <xf numFmtId="0" fontId="0" fillId="7" borderId="7" xfId="0" applyFont="1" applyFill="1" applyBorder="1"/>
    <xf numFmtId="0" fontId="0" fillId="7" borderId="8" xfId="0" applyFont="1" applyFill="1" applyBorder="1"/>
    <xf numFmtId="0" fontId="0" fillId="7" borderId="10" xfId="0" applyFont="1" applyFill="1" applyBorder="1"/>
    <xf numFmtId="0" fontId="0" fillId="7" borderId="9" xfId="0" applyFont="1" applyFill="1" applyBorder="1"/>
    <xf numFmtId="0" fontId="0" fillId="0" borderId="16" xfId="0" applyFont="1" applyFill="1" applyBorder="1"/>
    <xf numFmtId="0" fontId="0" fillId="0" borderId="0" xfId="0" applyAlignment="1">
      <alignment horizontal="right" vertical="center"/>
    </xf>
    <xf numFmtId="0" fontId="5" fillId="0" borderId="0" xfId="2" applyFont="1"/>
    <xf numFmtId="0" fontId="0" fillId="6" borderId="9" xfId="0" applyFont="1" applyFill="1" applyBorder="1"/>
    <xf numFmtId="0" fontId="8" fillId="8" borderId="0" xfId="0" applyFont="1" applyFill="1" applyBorder="1"/>
    <xf numFmtId="0" fontId="0" fillId="8" borderId="0" xfId="0" applyFill="1"/>
    <xf numFmtId="0" fontId="8" fillId="8" borderId="3" xfId="0" quotePrefix="1" applyFont="1" applyFill="1" applyBorder="1"/>
    <xf numFmtId="0" fontId="0" fillId="0" borderId="17" xfId="0" applyBorder="1"/>
    <xf numFmtId="0" fontId="10" fillId="0" borderId="17" xfId="1" applyBorder="1"/>
    <xf numFmtId="0" fontId="0" fillId="7" borderId="17" xfId="0" applyFill="1" applyBorder="1"/>
    <xf numFmtId="0" fontId="11" fillId="5" borderId="17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4" fillId="0" borderId="0" xfId="2" applyFont="1"/>
    <xf numFmtId="0" fontId="0" fillId="0" borderId="18" xfId="0" applyFill="1" applyBorder="1"/>
    <xf numFmtId="0" fontId="3" fillId="0" borderId="0" xfId="2" applyFont="1"/>
    <xf numFmtId="0" fontId="2" fillId="0" borderId="0" xfId="2" applyFont="1"/>
    <xf numFmtId="0" fontId="1" fillId="0" borderId="0" xfId="2" applyFont="1"/>
    <xf numFmtId="0" fontId="13" fillId="0" borderId="0" xfId="0" applyFont="1"/>
    <xf numFmtId="0" fontId="0" fillId="0" borderId="0" xfId="0" applyFont="1" applyFill="1" applyBorder="1" applyAlignment="1">
      <alignment horizontal="right"/>
    </xf>
    <xf numFmtId="0" fontId="8" fillId="7" borderId="0" xfId="0" applyFont="1" applyFill="1" applyBorder="1"/>
    <xf numFmtId="0" fontId="0" fillId="7" borderId="0" xfId="0" applyFill="1"/>
    <xf numFmtId="0" fontId="8" fillId="7" borderId="3" xfId="0" quotePrefix="1" applyFont="1" applyFill="1" applyBorder="1"/>
    <xf numFmtId="0" fontId="0" fillId="0" borderId="0" xfId="0" applyFont="1" applyBorder="1" applyAlignment="1">
      <alignment horizontal="right"/>
    </xf>
    <xf numFmtId="0" fontId="0" fillId="0" borderId="16" xfId="0" applyFont="1" applyBorder="1"/>
    <xf numFmtId="0" fontId="7" fillId="3" borderId="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</cellXfs>
  <cellStyles count="3">
    <cellStyle name="Bình thường" xfId="0" builtinId="0"/>
    <cellStyle name="Normal 2" xfId="2"/>
    <cellStyle name="Siêu kết nối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F69"/>
  <sheetViews>
    <sheetView showGridLines="0" workbookViewId="0">
      <selection activeCell="B19" sqref="B19"/>
    </sheetView>
  </sheetViews>
  <sheetFormatPr defaultRowHeight="12.75" x14ac:dyDescent="0.2"/>
  <cols>
    <col min="1" max="1" width="32.140625" bestFit="1" customWidth="1"/>
    <col min="2" max="2" width="9.42578125" bestFit="1" customWidth="1"/>
    <col min="3" max="3" width="56.42578125" customWidth="1"/>
    <col min="4" max="4" width="8.85546875" bestFit="1" customWidth="1"/>
    <col min="5" max="6" width="14.85546875" bestFit="1" customWidth="1"/>
  </cols>
  <sheetData>
    <row r="1" spans="1:6" x14ac:dyDescent="0.2">
      <c r="A1" s="46" t="s">
        <v>8</v>
      </c>
      <c r="B1" s="46" t="s">
        <v>17</v>
      </c>
      <c r="C1" s="46" t="s">
        <v>6</v>
      </c>
      <c r="D1" s="46" t="s">
        <v>76</v>
      </c>
      <c r="E1" s="46" t="s">
        <v>117</v>
      </c>
      <c r="F1" s="46" t="s">
        <v>78</v>
      </c>
    </row>
    <row r="2" spans="1:6" x14ac:dyDescent="0.2">
      <c r="A2" s="43" t="str">
        <f t="array" aca="1" ref="A2" ca="1">IFERROR(INDEX(MID(Sheets,FIND("]",Sheets)+1,255),SMALL(IF(MID(Sheets,FIND("]",Sheets)+1,255)&lt;&gt;MID(CELL("filename",A1),FIND("]",CELL("filename",A1))+1,255),ROW(INDIRECT("$A$1:$A$"&amp;COUNTA(MID(Sheets,FIND("]",Sheets)+1,255))))),ROW(1:1)),1),"")</f>
        <v/>
      </c>
      <c r="B2" s="44" t="str">
        <f ca="1">HYPERLINK("#'" &amp; A2 &amp; "'!A1", "GotoSheet")</f>
        <v>GotoSheet</v>
      </c>
      <c r="C2" s="45" t="s">
        <v>108</v>
      </c>
      <c r="D2" s="43" t="s">
        <v>77</v>
      </c>
      <c r="E2" s="43"/>
      <c r="F2" s="43"/>
    </row>
    <row r="3" spans="1:6" x14ac:dyDescent="0.2">
      <c r="A3" s="43" t="str">
        <f t="array" aca="1" ref="A3" ca="1">IFERROR(INDEX(MID(Sheets,FIND("]",Sheets)+1,255),SMALL(IF(MID(Sheets,FIND("]",Sheets)+1,255)&lt;&gt;MID(CELL("filename",A2),FIND("]",CELL("filename",A2))+1,255),ROW(INDIRECT("$A$1:$A$"&amp;COUNTA(MID(Sheets,FIND("]",Sheets)+1,255))))),ROW(2:2)),1),"")</f>
        <v/>
      </c>
      <c r="B3" s="44" t="str">
        <f t="shared" ref="B3:B19" ca="1" si="0">HYPERLINK("#'" &amp; A3 &amp; "'!A1", "GotoSheet")</f>
        <v>GotoSheet</v>
      </c>
      <c r="C3" t="s">
        <v>112</v>
      </c>
      <c r="D3" s="43" t="s">
        <v>77</v>
      </c>
      <c r="E3" s="43" t="s">
        <v>110</v>
      </c>
      <c r="F3" s="43"/>
    </row>
    <row r="4" spans="1:6" x14ac:dyDescent="0.2">
      <c r="A4" s="43" t="str">
        <f t="array" aca="1" ref="A4" ca="1">IFERROR(INDEX(MID(Sheets,FIND("]",Sheets)+1,255),SMALL(IF(MID(Sheets,FIND("]",Sheets)+1,255)&lt;&gt;MID(CELL("filename",A3),FIND("]",CELL("filename",A3))+1,255),ROW(INDIRECT("$A$1:$A$"&amp;COUNTA(MID(Sheets,FIND("]",Sheets)+1,255))))),ROW(3:3)),1),"")</f>
        <v/>
      </c>
      <c r="B4" s="44" t="str">
        <f t="shared" ca="1" si="0"/>
        <v>GotoSheet</v>
      </c>
      <c r="C4" s="43" t="s">
        <v>113</v>
      </c>
      <c r="D4" s="43"/>
      <c r="E4" s="43"/>
      <c r="F4" s="43" t="s">
        <v>115</v>
      </c>
    </row>
    <row r="5" spans="1:6" x14ac:dyDescent="0.2">
      <c r="A5" s="43" t="str">
        <f t="array" aca="1" ref="A5" ca="1">IFERROR(INDEX(MID(Sheets,FIND("]",Sheets)+1,255),SMALL(IF(MID(Sheets,FIND("]",Sheets)+1,255)&lt;&gt;MID(CELL("filename",A4),FIND("]",CELL("filename",A4))+1,255),ROW(INDIRECT("$A$1:$A$"&amp;COUNTA(MID(Sheets,FIND("]",Sheets)+1,255))))),ROW(4:4)),1),"")</f>
        <v/>
      </c>
      <c r="B5" s="44" t="str">
        <f t="shared" ca="1" si="0"/>
        <v>GotoSheet</v>
      </c>
      <c r="C5" s="43" t="s">
        <v>111</v>
      </c>
      <c r="D5" s="43" t="s">
        <v>77</v>
      </c>
      <c r="E5" s="43" t="s">
        <v>94</v>
      </c>
      <c r="F5" s="43"/>
    </row>
    <row r="6" spans="1:6" x14ac:dyDescent="0.2">
      <c r="A6" s="43" t="str">
        <f t="array" aca="1" ref="A6" ca="1">IFERROR(INDEX(MID(Sheets,FIND("]",Sheets)+1,255),SMALL(IF(MID(Sheets,FIND("]",Sheets)+1,255)&lt;&gt;MID(CELL("filename",A5),FIND("]",CELL("filename",A5))+1,255),ROW(INDIRECT("$A$1:$A$"&amp;COUNTA(MID(Sheets,FIND("]",Sheets)+1,255))))),ROW(5:5)),1),"")</f>
        <v/>
      </c>
      <c r="B6" s="44" t="str">
        <f t="shared" ca="1" si="0"/>
        <v>GotoSheet</v>
      </c>
      <c r="C6" s="43" t="s">
        <v>114</v>
      </c>
      <c r="D6" s="43" t="s">
        <v>77</v>
      </c>
      <c r="E6" s="43" t="s">
        <v>94</v>
      </c>
      <c r="F6" s="43"/>
    </row>
    <row r="7" spans="1:6" x14ac:dyDescent="0.2">
      <c r="A7" s="43" t="str">
        <f t="array" aca="1" ref="A7" ca="1">IFERROR(INDEX(MID(Sheets,FIND("]",Sheets)+1,255),SMALL(IF(MID(Sheets,FIND("]",Sheets)+1,255)&lt;&gt;MID(CELL("filename",A6),FIND("]",CELL("filename",A6))+1,255),ROW(INDIRECT("$A$1:$A$"&amp;COUNTA(MID(Sheets,FIND("]",Sheets)+1,255))))),ROW(6:6)),1),"")</f>
        <v/>
      </c>
      <c r="B7" s="44" t="str">
        <f t="shared" ca="1" si="0"/>
        <v>GotoSheet</v>
      </c>
      <c r="C7" s="49" t="s">
        <v>116</v>
      </c>
      <c r="D7" s="43" t="s">
        <v>77</v>
      </c>
      <c r="E7" s="43" t="s">
        <v>94</v>
      </c>
      <c r="F7" s="43"/>
    </row>
    <row r="8" spans="1:6" x14ac:dyDescent="0.2">
      <c r="A8" s="43" t="s">
        <v>127</v>
      </c>
      <c r="B8" s="44" t="str">
        <f>HYPERLINK("#Merchant_Promotion_Detail!A1", "GotoSheet")</f>
        <v>GotoSheet</v>
      </c>
      <c r="C8" s="43"/>
      <c r="D8" s="43" t="s">
        <v>77</v>
      </c>
      <c r="E8" s="43" t="s">
        <v>94</v>
      </c>
      <c r="F8" s="43"/>
    </row>
    <row r="9" spans="1:6" x14ac:dyDescent="0.2">
      <c r="A9" s="43" t="str">
        <f t="array" aca="1" ref="A9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B9" s="44" t="str">
        <f t="shared" ca="1" si="0"/>
        <v>GotoSheet</v>
      </c>
      <c r="C9" s="43" t="s">
        <v>109</v>
      </c>
      <c r="D9" s="43"/>
      <c r="E9" s="43"/>
      <c r="F9" s="43"/>
    </row>
    <row r="10" spans="1:6" x14ac:dyDescent="0.2">
      <c r="A10" s="43" t="str">
        <f t="array" aca="1" ref="A10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B10" s="44" t="str">
        <f t="shared" ca="1" si="0"/>
        <v>GotoSheet</v>
      </c>
      <c r="C10" s="43"/>
      <c r="D10" s="43" t="s">
        <v>77</v>
      </c>
      <c r="E10" s="43" t="s">
        <v>94</v>
      </c>
      <c r="F10" s="43"/>
    </row>
    <row r="11" spans="1:6" x14ac:dyDescent="0.2">
      <c r="A11" s="43" t="str">
        <f t="array" aca="1" ref="A11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  <c r="B11" s="44" t="str">
        <f t="shared" ca="1" si="0"/>
        <v>GotoSheet</v>
      </c>
      <c r="C11" s="43"/>
      <c r="D11" s="43" t="s">
        <v>77</v>
      </c>
      <c r="E11" s="43" t="s">
        <v>94</v>
      </c>
      <c r="F11" s="43"/>
    </row>
    <row r="12" spans="1:6" x14ac:dyDescent="0.2">
      <c r="A12" s="43" t="str">
        <f t="array" aca="1" ref="A12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  <c r="B12" s="44" t="str">
        <f t="shared" ca="1" si="0"/>
        <v>GotoSheet</v>
      </c>
      <c r="C12" s="43"/>
      <c r="D12" s="43" t="s">
        <v>77</v>
      </c>
      <c r="E12" s="43" t="s">
        <v>94</v>
      </c>
      <c r="F12" s="43"/>
    </row>
    <row r="13" spans="1:6" x14ac:dyDescent="0.2">
      <c r="A13" s="43" t="s">
        <v>145</v>
      </c>
      <c r="B13" s="44" t="str">
        <f t="shared" si="0"/>
        <v>GotoSheet</v>
      </c>
      <c r="C13" s="43"/>
      <c r="D13" s="43"/>
      <c r="E13" s="43" t="s">
        <v>146</v>
      </c>
      <c r="F13" s="43" t="s">
        <v>147</v>
      </c>
    </row>
    <row r="14" spans="1:6" x14ac:dyDescent="0.2">
      <c r="A14" s="43" t="s">
        <v>148</v>
      </c>
      <c r="B14" s="44" t="str">
        <f t="shared" si="0"/>
        <v>GotoSheet</v>
      </c>
      <c r="C14" s="43"/>
      <c r="D14" s="43"/>
      <c r="E14" s="43" t="s">
        <v>149</v>
      </c>
      <c r="F14" s="43"/>
    </row>
    <row r="15" spans="1:6" x14ac:dyDescent="0.2">
      <c r="A15" s="43" t="s">
        <v>150</v>
      </c>
      <c r="B15" s="44" t="str">
        <f t="shared" si="0"/>
        <v>GotoSheet</v>
      </c>
      <c r="C15" s="43"/>
      <c r="D15" s="43"/>
      <c r="E15" s="43" t="s">
        <v>149</v>
      </c>
      <c r="F15" s="43"/>
    </row>
    <row r="16" spans="1:6" x14ac:dyDescent="0.2">
      <c r="A16" s="43" t="s">
        <v>151</v>
      </c>
      <c r="B16" s="44" t="str">
        <f t="shared" si="0"/>
        <v>GotoSheet</v>
      </c>
      <c r="C16" s="43"/>
      <c r="D16" s="43" t="s">
        <v>77</v>
      </c>
      <c r="E16" s="43" t="s">
        <v>94</v>
      </c>
      <c r="F16" s="43"/>
    </row>
    <row r="17" spans="1:6" x14ac:dyDescent="0.2">
      <c r="A17" s="43" t="s">
        <v>192</v>
      </c>
      <c r="B17" s="44" t="str">
        <f t="shared" si="0"/>
        <v>GotoSheet</v>
      </c>
      <c r="C17" s="43" t="s">
        <v>196</v>
      </c>
      <c r="D17" s="43"/>
      <c r="E17" s="43"/>
      <c r="F17" s="43"/>
    </row>
    <row r="18" spans="1:6" x14ac:dyDescent="0.2">
      <c r="A18" s="43" t="s">
        <v>194</v>
      </c>
      <c r="B18" s="44" t="str">
        <f t="shared" si="0"/>
        <v>GotoSheet</v>
      </c>
      <c r="C18" s="43" t="s">
        <v>197</v>
      </c>
      <c r="D18" s="43"/>
      <c r="E18" s="43"/>
      <c r="F18" s="43"/>
    </row>
    <row r="19" spans="1:6" x14ac:dyDescent="0.2">
      <c r="A19" s="43" t="s">
        <v>195</v>
      </c>
      <c r="B19" s="44" t="str">
        <f t="shared" si="0"/>
        <v>GotoSheet</v>
      </c>
      <c r="C19" s="43" t="s">
        <v>198</v>
      </c>
      <c r="D19" s="43"/>
      <c r="E19" s="43"/>
      <c r="F19" s="43"/>
    </row>
    <row r="20" spans="1:6" x14ac:dyDescent="0.2">
      <c r="A20" s="43"/>
      <c r="B20" s="44"/>
      <c r="C20" s="43"/>
      <c r="D20" s="43"/>
      <c r="E20" s="43"/>
      <c r="F20" s="43"/>
    </row>
    <row r="21" spans="1:6" x14ac:dyDescent="0.2">
      <c r="A21" s="43"/>
      <c r="B21" s="44"/>
      <c r="C21" s="43"/>
      <c r="D21" s="43"/>
      <c r="E21" s="43"/>
      <c r="F21" s="43"/>
    </row>
    <row r="22" spans="1:6" x14ac:dyDescent="0.2">
      <c r="A22" s="43"/>
      <c r="B22" s="44"/>
      <c r="C22" s="43"/>
      <c r="D22" s="43"/>
      <c r="E22" s="43"/>
      <c r="F22" s="43"/>
    </row>
    <row r="23" spans="1:6" x14ac:dyDescent="0.2">
      <c r="A23" s="43"/>
      <c r="B23" s="44"/>
      <c r="C23" s="43"/>
      <c r="D23" s="43"/>
      <c r="E23" s="43"/>
      <c r="F23" s="43"/>
    </row>
    <row r="24" spans="1:6" x14ac:dyDescent="0.2">
      <c r="A24" s="43"/>
      <c r="B24" s="44"/>
      <c r="C24" s="43"/>
      <c r="D24" s="43"/>
      <c r="E24" s="43"/>
      <c r="F24" s="43"/>
    </row>
    <row r="25" spans="1:6" x14ac:dyDescent="0.2">
      <c r="A25" s="43"/>
      <c r="B25" s="44"/>
      <c r="C25" s="43"/>
      <c r="D25" s="43"/>
      <c r="E25" s="43"/>
      <c r="F25" s="43"/>
    </row>
    <row r="26" spans="1:6" x14ac:dyDescent="0.2">
      <c r="A26" s="43"/>
      <c r="B26" s="44"/>
      <c r="C26" s="43"/>
      <c r="D26" s="43"/>
      <c r="E26" s="43"/>
      <c r="F26" s="43"/>
    </row>
    <row r="27" spans="1:6" x14ac:dyDescent="0.2">
      <c r="A27" s="43"/>
      <c r="B27" s="44"/>
      <c r="C27" s="43"/>
      <c r="D27" s="43"/>
      <c r="E27" s="43"/>
      <c r="F27" s="43"/>
    </row>
    <row r="28" spans="1:6" x14ac:dyDescent="0.2">
      <c r="A28" s="43"/>
      <c r="B28" s="44"/>
      <c r="C28" s="43"/>
      <c r="D28" s="43"/>
      <c r="E28" s="43"/>
      <c r="F28" s="43"/>
    </row>
    <row r="29" spans="1:6" x14ac:dyDescent="0.2">
      <c r="A29" s="43"/>
      <c r="B29" s="44"/>
      <c r="C29" s="43"/>
      <c r="D29" s="43"/>
      <c r="E29" s="43"/>
      <c r="F29" s="43"/>
    </row>
    <row r="30" spans="1:6" x14ac:dyDescent="0.2">
      <c r="A30" s="43"/>
      <c r="B30" s="44"/>
      <c r="C30" s="43"/>
      <c r="D30" s="43"/>
      <c r="E30" s="43"/>
      <c r="F30" s="43"/>
    </row>
    <row r="31" spans="1:6" x14ac:dyDescent="0.2">
      <c r="A31" s="43"/>
      <c r="B31" s="44"/>
      <c r="C31" s="43"/>
      <c r="D31" s="43"/>
      <c r="E31" s="43"/>
      <c r="F31" s="43"/>
    </row>
    <row r="32" spans="1:6" x14ac:dyDescent="0.2">
      <c r="A32" s="43"/>
      <c r="B32" s="44"/>
      <c r="C32" s="43"/>
      <c r="D32" s="43"/>
      <c r="E32" s="43"/>
      <c r="F32" s="43"/>
    </row>
    <row r="33" spans="1:6" x14ac:dyDescent="0.2">
      <c r="A33" s="43"/>
      <c r="B33" s="44"/>
      <c r="C33" s="43"/>
      <c r="D33" s="43"/>
      <c r="E33" s="43"/>
      <c r="F33" s="43"/>
    </row>
    <row r="34" spans="1:6" x14ac:dyDescent="0.2">
      <c r="A34" s="43"/>
      <c r="B34" s="44"/>
      <c r="C34" s="43"/>
      <c r="D34" s="43"/>
      <c r="E34" s="43"/>
      <c r="F34" s="43"/>
    </row>
    <row r="35" spans="1:6" x14ac:dyDescent="0.2">
      <c r="A35" s="43"/>
      <c r="B35" s="44"/>
      <c r="C35" s="43"/>
      <c r="D35" s="43"/>
      <c r="E35" s="43"/>
      <c r="F35" s="43"/>
    </row>
    <row r="36" spans="1:6" x14ac:dyDescent="0.2">
      <c r="A36" s="43"/>
      <c r="B36" s="44"/>
      <c r="C36" s="43"/>
      <c r="D36" s="43"/>
      <c r="E36" s="43"/>
      <c r="F36" s="43"/>
    </row>
    <row r="37" spans="1:6" x14ac:dyDescent="0.2">
      <c r="A37" s="43"/>
      <c r="B37" s="44"/>
      <c r="C37" s="43"/>
      <c r="D37" s="43"/>
      <c r="E37" s="43"/>
      <c r="F37" s="43"/>
    </row>
    <row r="38" spans="1:6" x14ac:dyDescent="0.2">
      <c r="A38" s="43"/>
      <c r="B38" s="44"/>
      <c r="C38" s="43"/>
      <c r="D38" s="43"/>
      <c r="E38" s="43"/>
      <c r="F38" s="43"/>
    </row>
    <row r="39" spans="1:6" x14ac:dyDescent="0.2">
      <c r="A39" s="43"/>
      <c r="B39" s="44"/>
      <c r="C39" s="43"/>
      <c r="D39" s="43"/>
      <c r="E39" s="43"/>
      <c r="F39" s="43"/>
    </row>
    <row r="40" spans="1:6" x14ac:dyDescent="0.2">
      <c r="A40" s="43"/>
      <c r="B40" s="44"/>
      <c r="C40" s="43"/>
      <c r="D40" s="43"/>
      <c r="E40" s="43"/>
      <c r="F40" s="43"/>
    </row>
    <row r="41" spans="1:6" x14ac:dyDescent="0.2">
      <c r="A41" s="43"/>
      <c r="B41" s="44"/>
      <c r="C41" s="43"/>
      <c r="D41" s="43"/>
      <c r="E41" s="43"/>
      <c r="F41" s="43"/>
    </row>
    <row r="42" spans="1:6" x14ac:dyDescent="0.2">
      <c r="A42" s="43"/>
      <c r="B42" s="44"/>
      <c r="C42" s="43"/>
      <c r="D42" s="43"/>
      <c r="E42" s="43"/>
      <c r="F42" s="43"/>
    </row>
    <row r="43" spans="1:6" x14ac:dyDescent="0.2">
      <c r="A43" s="43"/>
      <c r="B43" s="43"/>
      <c r="C43" s="43"/>
      <c r="D43" s="43"/>
      <c r="E43" s="43"/>
      <c r="F43" s="43"/>
    </row>
    <row r="44" spans="1:6" x14ac:dyDescent="0.2">
      <c r="A44" s="43"/>
      <c r="B44" s="43"/>
      <c r="C44" s="43"/>
      <c r="D44" s="43"/>
      <c r="E44" s="43"/>
      <c r="F44" s="43"/>
    </row>
    <row r="45" spans="1:6" x14ac:dyDescent="0.2">
      <c r="A45" s="43"/>
      <c r="B45" s="43"/>
      <c r="C45" s="43"/>
      <c r="D45" s="43"/>
      <c r="E45" s="43"/>
      <c r="F45" s="43"/>
    </row>
    <row r="46" spans="1:6" x14ac:dyDescent="0.2">
      <c r="A46" s="43"/>
      <c r="B46" s="43"/>
      <c r="C46" s="43"/>
      <c r="D46" s="43"/>
      <c r="E46" s="43"/>
      <c r="F46" s="43"/>
    </row>
    <row r="47" spans="1:6" x14ac:dyDescent="0.2">
      <c r="A47" s="43"/>
      <c r="B47" s="43"/>
      <c r="C47" s="43"/>
      <c r="D47" s="43"/>
      <c r="E47" s="43"/>
      <c r="F47" s="43"/>
    </row>
    <row r="48" spans="1:6" x14ac:dyDescent="0.2">
      <c r="A48" s="43"/>
      <c r="B48" s="43"/>
      <c r="C48" s="43"/>
      <c r="D48" s="43"/>
      <c r="E48" s="43"/>
      <c r="F48" s="43"/>
    </row>
    <row r="49" spans="1:6" x14ac:dyDescent="0.2">
      <c r="A49" s="43"/>
      <c r="B49" s="43"/>
      <c r="C49" s="43"/>
      <c r="D49" s="43"/>
      <c r="E49" s="43"/>
      <c r="F49" s="43"/>
    </row>
    <row r="50" spans="1:6" x14ac:dyDescent="0.2">
      <c r="A50" s="43"/>
      <c r="B50" s="43"/>
      <c r="C50" s="43"/>
      <c r="D50" s="43"/>
      <c r="E50" s="43"/>
      <c r="F50" s="43"/>
    </row>
    <row r="51" spans="1:6" x14ac:dyDescent="0.2">
      <c r="A51" s="43"/>
      <c r="B51" s="43"/>
      <c r="C51" s="43"/>
      <c r="D51" s="43"/>
      <c r="E51" s="43"/>
      <c r="F51" s="43"/>
    </row>
    <row r="52" spans="1:6" x14ac:dyDescent="0.2">
      <c r="A52" s="43"/>
      <c r="B52" s="43"/>
      <c r="C52" s="43"/>
      <c r="D52" s="43"/>
      <c r="E52" s="43"/>
      <c r="F52" s="43"/>
    </row>
    <row r="53" spans="1:6" x14ac:dyDescent="0.2">
      <c r="A53" s="43"/>
      <c r="B53" s="43"/>
      <c r="C53" s="43"/>
      <c r="D53" s="43"/>
      <c r="E53" s="43"/>
      <c r="F53" s="43"/>
    </row>
    <row r="54" spans="1:6" x14ac:dyDescent="0.2">
      <c r="A54" s="43"/>
      <c r="B54" s="43"/>
      <c r="C54" s="43"/>
      <c r="D54" s="43"/>
      <c r="E54" s="43"/>
      <c r="F54" s="43"/>
    </row>
    <row r="55" spans="1:6" x14ac:dyDescent="0.2">
      <c r="A55" s="43"/>
      <c r="B55" s="43"/>
      <c r="C55" s="43"/>
      <c r="D55" s="43"/>
      <c r="E55" s="43"/>
      <c r="F55" s="43"/>
    </row>
    <row r="56" spans="1:6" x14ac:dyDescent="0.2">
      <c r="A56" s="43"/>
      <c r="B56" s="43"/>
      <c r="C56" s="43"/>
      <c r="D56" s="43"/>
      <c r="E56" s="43"/>
      <c r="F56" s="43"/>
    </row>
    <row r="57" spans="1:6" x14ac:dyDescent="0.2">
      <c r="A57" s="43"/>
      <c r="B57" s="43"/>
      <c r="C57" s="43"/>
      <c r="D57" s="43"/>
      <c r="E57" s="43"/>
      <c r="F57" s="43"/>
    </row>
    <row r="58" spans="1:6" x14ac:dyDescent="0.2">
      <c r="A58" s="43"/>
      <c r="B58" s="43"/>
      <c r="C58" s="43"/>
      <c r="D58" s="43"/>
      <c r="E58" s="43"/>
      <c r="F58" s="43"/>
    </row>
    <row r="59" spans="1:6" x14ac:dyDescent="0.2">
      <c r="A59" s="43"/>
      <c r="B59" s="43"/>
      <c r="C59" s="43"/>
      <c r="D59" s="43"/>
      <c r="E59" s="43"/>
      <c r="F59" s="43"/>
    </row>
    <row r="60" spans="1:6" x14ac:dyDescent="0.2">
      <c r="A60" s="43"/>
      <c r="B60" s="43"/>
      <c r="C60" s="43"/>
      <c r="D60" s="43"/>
      <c r="E60" s="43"/>
      <c r="F60" s="43"/>
    </row>
    <row r="61" spans="1:6" x14ac:dyDescent="0.2">
      <c r="A61" s="43"/>
      <c r="B61" s="43"/>
      <c r="C61" s="43"/>
      <c r="D61" s="43"/>
      <c r="E61" s="43"/>
      <c r="F61" s="43"/>
    </row>
    <row r="62" spans="1:6" x14ac:dyDescent="0.2">
      <c r="A62" s="43"/>
      <c r="B62" s="43"/>
      <c r="C62" s="43"/>
      <c r="D62" s="43"/>
      <c r="E62" s="43"/>
      <c r="F62" s="43"/>
    </row>
    <row r="63" spans="1:6" x14ac:dyDescent="0.2">
      <c r="A63" s="43"/>
      <c r="B63" s="43"/>
      <c r="C63" s="43"/>
      <c r="D63" s="43"/>
      <c r="E63" s="43"/>
      <c r="F63" s="43"/>
    </row>
    <row r="64" spans="1:6" x14ac:dyDescent="0.2">
      <c r="A64" s="43"/>
      <c r="B64" s="43"/>
      <c r="C64" s="43"/>
      <c r="D64" s="43"/>
      <c r="E64" s="43"/>
      <c r="F64" s="43"/>
    </row>
    <row r="65" spans="1:6" x14ac:dyDescent="0.2">
      <c r="A65" s="43"/>
      <c r="B65" s="43"/>
      <c r="C65" s="43"/>
      <c r="D65" s="43"/>
      <c r="E65" s="43"/>
      <c r="F65" s="43"/>
    </row>
    <row r="66" spans="1:6" x14ac:dyDescent="0.2">
      <c r="A66" s="43"/>
      <c r="B66" s="43"/>
      <c r="C66" s="43"/>
      <c r="D66" s="43"/>
      <c r="E66" s="43"/>
      <c r="F66" s="43"/>
    </row>
    <row r="67" spans="1:6" x14ac:dyDescent="0.2">
      <c r="A67" s="43"/>
      <c r="B67" s="43"/>
      <c r="C67" s="43"/>
      <c r="D67" s="43"/>
      <c r="E67" s="43"/>
      <c r="F67" s="43"/>
    </row>
    <row r="68" spans="1:6" x14ac:dyDescent="0.2">
      <c r="A68" s="43"/>
      <c r="B68" s="43"/>
      <c r="C68" s="43"/>
      <c r="D68" s="43"/>
      <c r="E68" s="43"/>
      <c r="F68" s="43"/>
    </row>
    <row r="69" spans="1:6" x14ac:dyDescent="0.2">
      <c r="A69" s="43"/>
      <c r="B69" s="43"/>
      <c r="C69" s="43"/>
      <c r="D69" s="43"/>
      <c r="E69" s="43"/>
      <c r="F69" s="4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L165"/>
  <sheetViews>
    <sheetView workbookViewId="0"/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0" x14ac:dyDescent="0.2">
      <c r="A1" s="1" t="s">
        <v>8</v>
      </c>
      <c r="B1" s="1" t="s">
        <v>79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26</v>
      </c>
      <c r="B5" s="23" t="s">
        <v>7</v>
      </c>
      <c r="C5" s="27">
        <v>15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27</v>
      </c>
      <c r="B6" s="23" t="s">
        <v>20</v>
      </c>
      <c r="C6" s="27">
        <v>15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28</v>
      </c>
      <c r="B7" s="23" t="s">
        <v>20</v>
      </c>
      <c r="C7" s="27">
        <v>100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29</v>
      </c>
      <c r="B8" s="23" t="s">
        <v>20</v>
      </c>
      <c r="C8" s="27">
        <v>100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30</v>
      </c>
      <c r="B9" s="23" t="s">
        <v>20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22" t="s">
        <v>31</v>
      </c>
      <c r="B10" s="23" t="s">
        <v>20</v>
      </c>
      <c r="C10" s="27">
        <v>20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32</v>
      </c>
      <c r="B11" s="23" t="s">
        <v>20</v>
      </c>
      <c r="C11" s="27">
        <v>30</v>
      </c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22" t="s">
        <v>33</v>
      </c>
      <c r="B12" s="23" t="s">
        <v>20</v>
      </c>
      <c r="C12" s="27">
        <v>20</v>
      </c>
      <c r="D12" s="23"/>
      <c r="E12" s="23"/>
      <c r="F12" s="23" t="b">
        <v>0</v>
      </c>
      <c r="G12" s="23"/>
      <c r="H12" s="23"/>
      <c r="I12" s="24"/>
      <c r="J12" s="25"/>
    </row>
    <row r="13" spans="1:10" x14ac:dyDescent="0.2">
      <c r="A13" s="22" t="s">
        <v>34</v>
      </c>
      <c r="B13" s="23" t="s">
        <v>20</v>
      </c>
      <c r="C13" s="27">
        <v>20</v>
      </c>
      <c r="D13" s="23"/>
      <c r="E13" s="23"/>
      <c r="F13" s="23" t="b">
        <v>0</v>
      </c>
      <c r="G13" s="23"/>
      <c r="H13" s="23"/>
      <c r="I13" s="24"/>
      <c r="J13" s="25"/>
    </row>
    <row r="14" spans="1:10" x14ac:dyDescent="0.2">
      <c r="A14" s="22" t="s">
        <v>68</v>
      </c>
      <c r="B14" s="23" t="s">
        <v>7</v>
      </c>
      <c r="C14" s="27">
        <v>20</v>
      </c>
      <c r="D14" s="23"/>
      <c r="E14" s="23"/>
      <c r="F14" s="23" t="b">
        <v>0</v>
      </c>
      <c r="G14" s="23"/>
      <c r="H14" s="23"/>
      <c r="I14" s="24"/>
      <c r="J14" s="25"/>
    </row>
    <row r="15" spans="1:10" x14ac:dyDescent="0.2">
      <c r="A15" s="22" t="s">
        <v>69</v>
      </c>
      <c r="B15" s="23" t="s">
        <v>20</v>
      </c>
      <c r="C15" s="27">
        <v>100</v>
      </c>
      <c r="D15" s="23"/>
      <c r="E15" s="23"/>
      <c r="F15" s="23" t="b">
        <v>0</v>
      </c>
      <c r="G15" s="23"/>
      <c r="H15" s="23"/>
      <c r="I15" s="24"/>
      <c r="J15" s="25"/>
    </row>
    <row r="16" spans="1:10" x14ac:dyDescent="0.2">
      <c r="A16" s="22" t="s">
        <v>67</v>
      </c>
      <c r="B16" s="23" t="s">
        <v>7</v>
      </c>
      <c r="C16" s="27">
        <v>20</v>
      </c>
      <c r="D16" s="23"/>
      <c r="E16" s="23"/>
      <c r="F16" s="23" t="b">
        <v>0</v>
      </c>
      <c r="G16" s="23"/>
      <c r="H16" s="23"/>
      <c r="I16" s="24"/>
      <c r="J16" s="25"/>
    </row>
    <row r="17" spans="1:10" x14ac:dyDescent="0.2">
      <c r="A17" s="22" t="s">
        <v>66</v>
      </c>
      <c r="B17" s="23" t="s">
        <v>20</v>
      </c>
      <c r="C17" s="27">
        <v>100</v>
      </c>
      <c r="D17" s="23"/>
      <c r="E17" s="23"/>
      <c r="F17" s="23" t="b">
        <v>0</v>
      </c>
      <c r="G17" s="23"/>
      <c r="H17" s="23"/>
      <c r="I17" s="24"/>
      <c r="J17" s="25"/>
    </row>
    <row r="18" spans="1:10" x14ac:dyDescent="0.2">
      <c r="A18" s="22" t="s">
        <v>71</v>
      </c>
      <c r="B18" s="23" t="s">
        <v>9</v>
      </c>
      <c r="C18" s="27"/>
      <c r="D18" s="23"/>
      <c r="E18" s="23"/>
      <c r="F18" s="23" t="b">
        <v>0</v>
      </c>
      <c r="G18" s="23"/>
      <c r="H18" s="23"/>
      <c r="I18" s="24"/>
      <c r="J18" s="25"/>
    </row>
    <row r="19" spans="1:10" x14ac:dyDescent="0.2">
      <c r="A19" s="22" t="s">
        <v>70</v>
      </c>
      <c r="B19" s="23" t="s">
        <v>9</v>
      </c>
      <c r="C19" s="27"/>
      <c r="D19" s="23"/>
      <c r="E19" s="23"/>
      <c r="F19" s="23" t="b">
        <v>0</v>
      </c>
      <c r="G19" s="23"/>
      <c r="H19" s="23"/>
      <c r="I19" s="24"/>
      <c r="J19" s="25"/>
    </row>
    <row r="20" spans="1:10" x14ac:dyDescent="0.2">
      <c r="A20" s="22" t="s">
        <v>35</v>
      </c>
      <c r="B20" s="23" t="s">
        <v>9</v>
      </c>
      <c r="C20" s="27"/>
      <c r="D20" s="23"/>
      <c r="E20" s="23"/>
      <c r="F20" s="23" t="b">
        <v>1</v>
      </c>
      <c r="G20" s="23"/>
      <c r="H20" s="23"/>
      <c r="I20" s="24"/>
      <c r="J20" s="25"/>
    </row>
    <row r="21" spans="1:10" x14ac:dyDescent="0.2">
      <c r="A21" s="22" t="s">
        <v>36</v>
      </c>
      <c r="B21" s="23" t="s">
        <v>20</v>
      </c>
      <c r="C21" s="27">
        <v>500</v>
      </c>
      <c r="D21" s="23"/>
      <c r="E21" s="23"/>
      <c r="F21" s="23" t="b">
        <v>1</v>
      </c>
      <c r="G21" s="23"/>
      <c r="H21" s="23"/>
      <c r="I21" s="24"/>
      <c r="J21" s="25"/>
    </row>
    <row r="22" spans="1:10" x14ac:dyDescent="0.2">
      <c r="A22" s="30" t="s">
        <v>37</v>
      </c>
      <c r="B22" s="23" t="s">
        <v>20</v>
      </c>
      <c r="C22" s="27">
        <v>30</v>
      </c>
      <c r="D22" s="28"/>
      <c r="E22" s="28"/>
      <c r="F22" s="28" t="b">
        <v>1</v>
      </c>
      <c r="G22" s="28"/>
      <c r="H22" s="28"/>
      <c r="I22" s="31"/>
      <c r="J22" s="25"/>
    </row>
    <row r="23" spans="1:10" x14ac:dyDescent="0.2">
      <c r="A23" s="22" t="s">
        <v>38</v>
      </c>
      <c r="B23" s="23" t="s">
        <v>20</v>
      </c>
      <c r="C23" s="27">
        <v>500</v>
      </c>
      <c r="D23" s="23"/>
      <c r="E23" s="23"/>
      <c r="F23" s="23" t="b">
        <v>1</v>
      </c>
      <c r="G23" s="23"/>
      <c r="H23" s="23"/>
      <c r="I23" s="24"/>
      <c r="J23" s="25"/>
    </row>
    <row r="24" spans="1:10" x14ac:dyDescent="0.2">
      <c r="A24" s="22" t="s">
        <v>40</v>
      </c>
      <c r="B24" s="23" t="s">
        <v>20</v>
      </c>
      <c r="C24" s="27">
        <v>15</v>
      </c>
      <c r="D24" s="23"/>
      <c r="E24" s="23"/>
      <c r="F24" s="23" t="b">
        <v>0</v>
      </c>
      <c r="G24" s="23"/>
      <c r="H24" s="23"/>
      <c r="I24" s="24"/>
      <c r="J24" s="25"/>
    </row>
    <row r="25" spans="1:10" x14ac:dyDescent="0.2">
      <c r="A25" s="22" t="s">
        <v>39</v>
      </c>
      <c r="B25" s="23" t="s">
        <v>20</v>
      </c>
      <c r="C25" s="27">
        <v>15</v>
      </c>
      <c r="D25" s="23"/>
      <c r="E25" s="23"/>
      <c r="F25" s="23" t="b">
        <v>1</v>
      </c>
      <c r="G25" s="23"/>
      <c r="H25" s="23"/>
      <c r="I25" s="24"/>
      <c r="J25" s="25"/>
    </row>
    <row r="26" spans="1:10" x14ac:dyDescent="0.2">
      <c r="A26" s="22" t="s">
        <v>122</v>
      </c>
      <c r="B26" s="23" t="s">
        <v>7</v>
      </c>
      <c r="C26" s="27">
        <v>1</v>
      </c>
      <c r="D26" s="23"/>
      <c r="E26" s="23"/>
      <c r="F26" s="23" t="b">
        <v>0</v>
      </c>
      <c r="G26" s="23"/>
      <c r="H26" s="23"/>
      <c r="I26" s="24"/>
      <c r="J26" s="25"/>
    </row>
    <row r="27" spans="1:10" x14ac:dyDescent="0.2">
      <c r="A27" s="22" t="s">
        <v>41</v>
      </c>
      <c r="B27" s="23" t="s">
        <v>7</v>
      </c>
      <c r="C27" s="27">
        <v>32</v>
      </c>
      <c r="D27" s="23"/>
      <c r="E27" s="23"/>
      <c r="F27" s="23" t="b">
        <v>1</v>
      </c>
      <c r="G27" s="23"/>
      <c r="H27" s="23"/>
      <c r="I27" s="24"/>
      <c r="J27" s="25"/>
    </row>
    <row r="28" spans="1:10" x14ac:dyDescent="0.2">
      <c r="A28" s="35" t="s">
        <v>42</v>
      </c>
      <c r="B28" s="23" t="s">
        <v>9</v>
      </c>
      <c r="C28" s="27"/>
      <c r="D28" s="32"/>
      <c r="E28" s="32"/>
      <c r="F28" s="32" t="b">
        <v>1</v>
      </c>
      <c r="G28" s="34"/>
      <c r="H28" s="34"/>
      <c r="I28" s="33"/>
      <c r="J28" s="25"/>
    </row>
    <row r="29" spans="1:10" x14ac:dyDescent="0.2">
      <c r="A29" s="36" t="s">
        <v>43</v>
      </c>
      <c r="B29" t="s">
        <v>20</v>
      </c>
      <c r="C29">
        <v>500</v>
      </c>
      <c r="F29" s="32" t="b">
        <v>1</v>
      </c>
      <c r="G29" s="23"/>
      <c r="H29" s="23"/>
      <c r="I29" s="24"/>
      <c r="J29" s="25"/>
    </row>
    <row r="30" spans="1:10" x14ac:dyDescent="0.2">
      <c r="A30" s="22" t="s">
        <v>21</v>
      </c>
      <c r="B30" s="23" t="s">
        <v>9</v>
      </c>
      <c r="C30" s="27"/>
      <c r="D30" s="23"/>
      <c r="E30" s="23"/>
      <c r="F30" s="23" t="b">
        <v>1</v>
      </c>
      <c r="G30" s="32"/>
      <c r="H30" s="32"/>
      <c r="I30" s="33"/>
      <c r="J30" s="25"/>
    </row>
    <row r="31" spans="1:10" x14ac:dyDescent="0.2">
      <c r="A31" s="22" t="s">
        <v>22</v>
      </c>
      <c r="B31" s="23" t="s">
        <v>20</v>
      </c>
      <c r="C31" s="27">
        <v>32</v>
      </c>
      <c r="D31" s="23"/>
      <c r="E31" s="23"/>
      <c r="F31" s="23" t="b">
        <v>1</v>
      </c>
      <c r="G31" s="23"/>
      <c r="H31" s="23"/>
      <c r="I31" s="24"/>
      <c r="J31" s="25"/>
    </row>
    <row r="32" spans="1:10" x14ac:dyDescent="0.2">
      <c r="A32" s="22" t="s">
        <v>23</v>
      </c>
      <c r="B32" s="23" t="s">
        <v>9</v>
      </c>
      <c r="C32" s="27"/>
      <c r="D32" s="23"/>
      <c r="E32" s="23"/>
      <c r="F32" s="23" t="b">
        <v>1</v>
      </c>
      <c r="G32" s="23"/>
      <c r="H32" s="23"/>
      <c r="I32" s="24"/>
      <c r="J32" s="25"/>
    </row>
    <row r="33" spans="1:12" x14ac:dyDescent="0.2">
      <c r="A33" s="22" t="s">
        <v>24</v>
      </c>
      <c r="B33" s="23" t="s">
        <v>20</v>
      </c>
      <c r="C33" s="27">
        <v>32</v>
      </c>
      <c r="D33" s="23"/>
      <c r="E33" s="23"/>
      <c r="F33" s="23" t="b">
        <v>1</v>
      </c>
      <c r="G33" s="23"/>
      <c r="H33" s="23"/>
      <c r="I33" s="24"/>
      <c r="J33" s="25"/>
    </row>
    <row r="34" spans="1:12" ht="13.5" thickBot="1" x14ac:dyDescent="0.25"/>
    <row r="35" spans="1:12" ht="13.5" thickBot="1" x14ac:dyDescent="0.25">
      <c r="A35" s="60" t="s">
        <v>10</v>
      </c>
      <c r="B35" s="61"/>
      <c r="C35" s="16"/>
      <c r="D35" s="17"/>
      <c r="E35" s="17"/>
      <c r="F35" s="18"/>
      <c r="G35" s="18"/>
      <c r="H35" s="18"/>
      <c r="I35" s="18"/>
      <c r="J35" s="18"/>
      <c r="K35" s="18"/>
      <c r="L35" s="18"/>
    </row>
    <row r="36" spans="1:12" x14ac:dyDescent="0.2">
      <c r="A36" s="5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5" t="str">
        <f>"if exists (select * from dbo.sysobjects where id = object_id(N'[dbo].["&amp;$B$1&amp;"]') and OBJECTPROPERTY(id, N'IsUserTable') = 1)"</f>
        <v>if exists (select * from dbo.sysobjects where id = object_id(N'[dbo].[Merchant_Info]') and OBJECTPROPERTY(id, N'IsUserTable') = 1)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 t="str">
        <f>"drop table [dbo].["&amp;$B$1&amp;"]"</f>
        <v>drop table [dbo].[Merchant_Info]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 t="str">
        <f>"CREATE TABLE [dbo].["&amp;$B$1&amp;"] ("</f>
        <v>CREATE TABLE [dbo].[Merchant_Info] (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ref="B43:B7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[ma_gian_hang] [varchar] (15)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[ten_gian_hang] [nvarchar] (15) NOT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[ten_viet_tat] [nvarchar] (100) NOT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[ten_tieng_anh] [nvarchar] (100) NOT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 xml:space="preserve">[website] [nvarchar] (50) NOT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 t="str">
        <f t="shared" si="0"/>
        <v xml:space="preserve">[dien_thoai] [nvarchar] (20) NOT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10"/>
      <c r="B49" s="5" t="str">
        <f t="shared" si="0"/>
        <v xml:space="preserve">[email] [nvarchar] (30) NOT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10"/>
      <c r="B50" s="5" t="str">
        <f t="shared" si="0"/>
        <v xml:space="preserve">[fax] [nvarchar] (20) NOT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10"/>
      <c r="B51" s="5" t="str">
        <f t="shared" si="0"/>
        <v xml:space="preserve">[dia_chi_tru_so] [nvarchar] (20) NOT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10"/>
      <c r="B52" s="5" t="str">
        <f t="shared" si="0"/>
        <v xml:space="preserve">[ma_tinh_tp] [varchar] (20) NOT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10"/>
      <c r="B53" s="5" t="str">
        <f t="shared" si="0"/>
        <v xml:space="preserve">[ten_tinh_tp] [nvarchar] (100) NOT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10"/>
      <c r="B54" s="5" t="str">
        <f t="shared" si="0"/>
        <v xml:space="preserve">[ma_quan_huyen] [varchar] (20) NOT NULL, 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10"/>
      <c r="B55" s="5" t="str">
        <f t="shared" si="0"/>
        <v xml:space="preserve">[ten_quan_huyen] [nvarchar] (100) NOT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10"/>
      <c r="B56" s="5" t="str">
        <f t="shared" si="0"/>
        <v xml:space="preserve">[ngay_tiep_xuc] [datetime] NOT NULL, </v>
      </c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10"/>
      <c r="B57" s="5" t="str">
        <f t="shared" si="0"/>
        <v xml:space="preserve">[ngay_ky_hop_dong] [datetime] NOT NULL, </v>
      </c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10"/>
      <c r="B58" s="5" t="str">
        <f t="shared" si="0"/>
        <v xml:space="preserve">[ngay_hoat_dong] [datetime] NULL, </v>
      </c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10"/>
      <c r="B59" s="5" t="str">
        <f t="shared" si="0"/>
        <v xml:space="preserve">[ly_do_giay_to_phap_ly] [nvarchar] (500) NULL, </v>
      </c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">
      <c r="A60" s="10"/>
      <c r="B60" s="5" t="str">
        <f t="shared" si="0"/>
        <v xml:space="preserve">[tai_khoan_thanh_toan] [nvarchar] (30) NULL, 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">
      <c r="A61" s="10"/>
      <c r="B61" s="5" t="str">
        <f t="shared" si="0"/>
        <v xml:space="preserve">[dao_tao_quan_ly] [nvarchar] (500) NULL, 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">
      <c r="A62" s="10"/>
      <c r="B62" s="5" t="str">
        <f t="shared" si="0"/>
        <v xml:space="preserve">[trang_thai_duyet] [nvarchar] (15) NOT NULL, </v>
      </c>
      <c r="C62" s="5"/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">
      <c r="A63" s="10"/>
      <c r="B63" s="5" t="str">
        <f t="shared" si="0"/>
        <v xml:space="preserve">[trang_thai_xuat_ban] [nvarchar] (15) NULL, 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x14ac:dyDescent="0.2">
      <c r="A64" s="10"/>
      <c r="B64" s="5" t="str">
        <f t="shared" si="0"/>
        <v xml:space="preserve">[trang_thai_xac_thuc] [varchar] (1) NOT NULL, </v>
      </c>
      <c r="C64" s="5"/>
      <c r="D64" s="5"/>
      <c r="E64" s="5"/>
      <c r="F64" s="6"/>
      <c r="G64" s="5"/>
      <c r="H64" s="5"/>
      <c r="I64" s="7"/>
      <c r="J64" s="7"/>
      <c r="K64" s="5"/>
      <c r="L64" s="8"/>
    </row>
    <row r="65" spans="1:12" x14ac:dyDescent="0.2">
      <c r="A65" s="10"/>
      <c r="B65" s="5" t="str">
        <f t="shared" si="0"/>
        <v xml:space="preserve">[nguoi_duyet] [varchar] (32) NULL, </v>
      </c>
      <c r="C65" s="5"/>
      <c r="D65" s="5"/>
      <c r="E65" s="5"/>
      <c r="F65" s="6"/>
      <c r="G65" s="5"/>
      <c r="H65" s="5"/>
      <c r="I65" s="7"/>
      <c r="J65" s="7"/>
      <c r="K65" s="5"/>
      <c r="L65" s="8"/>
    </row>
    <row r="66" spans="1:12" x14ac:dyDescent="0.2">
      <c r="A66" s="10"/>
      <c r="B66" s="5" t="str">
        <f t="shared" si="0"/>
        <v xml:space="preserve">[ngay_duyet] [datetime] NULL, </v>
      </c>
      <c r="C66" s="5"/>
      <c r="D66" s="5"/>
      <c r="E66" s="5"/>
      <c r="F66" s="6"/>
      <c r="G66" s="5"/>
      <c r="H66" s="5"/>
      <c r="I66" s="7"/>
      <c r="J66" s="7"/>
      <c r="K66" s="5"/>
      <c r="L66" s="8"/>
    </row>
    <row r="67" spans="1:12" x14ac:dyDescent="0.2">
      <c r="A67" s="10"/>
      <c r="B67" s="5" t="str">
        <f t="shared" si="0"/>
        <v xml:space="preserve">[mo_ta] [nvarchar] (500) NULL, </v>
      </c>
      <c r="C67" s="5"/>
      <c r="D67" s="5"/>
      <c r="E67" s="5"/>
      <c r="F67" s="6"/>
      <c r="G67" s="5"/>
      <c r="H67" s="5"/>
      <c r="I67" s="7"/>
      <c r="J67" s="7"/>
      <c r="K67" s="5"/>
      <c r="L67" s="8"/>
    </row>
    <row r="68" spans="1:12" x14ac:dyDescent="0.2">
      <c r="A68" s="10"/>
      <c r="B68" s="5" t="str">
        <f t="shared" si="0"/>
        <v xml:space="preserve">[ngay_tao] [datetime] NULL, </v>
      </c>
      <c r="C68" s="5"/>
      <c r="D68" s="5"/>
      <c r="E68" s="5"/>
      <c r="F68" s="6"/>
      <c r="G68" s="5"/>
      <c r="H68" s="5"/>
      <c r="I68" s="7"/>
      <c r="J68" s="7"/>
      <c r="K68" s="5"/>
      <c r="L68" s="8"/>
    </row>
    <row r="69" spans="1:12" x14ac:dyDescent="0.2">
      <c r="A69" s="10"/>
      <c r="B69" s="5" t="str">
        <f t="shared" si="0"/>
        <v xml:space="preserve">[nguoi_tao] [nvarchar] (32) NULL, </v>
      </c>
      <c r="C69" s="5"/>
      <c r="D69" s="5"/>
      <c r="E69" s="5"/>
      <c r="F69" s="6"/>
      <c r="G69" s="5"/>
      <c r="H69" s="5"/>
      <c r="I69" s="7"/>
      <c r="J69" s="7"/>
      <c r="K69" s="5"/>
      <c r="L69" s="8"/>
    </row>
    <row r="70" spans="1:12" x14ac:dyDescent="0.2">
      <c r="A70" s="10"/>
      <c r="B70" s="5" t="str">
        <f t="shared" si="0"/>
        <v xml:space="preserve">[ngay_cap_nhat] [datetime] NULL, </v>
      </c>
      <c r="C70" s="5"/>
      <c r="D70" s="5"/>
      <c r="E70" s="5"/>
      <c r="F70" s="6"/>
      <c r="G70" s="5"/>
      <c r="H70" s="5"/>
      <c r="I70" s="7"/>
      <c r="J70" s="7"/>
      <c r="K70" s="5"/>
      <c r="L70" s="8"/>
    </row>
    <row r="71" spans="1:12" x14ac:dyDescent="0.2">
      <c r="A71" s="10"/>
      <c r="B71" s="5" t="str">
        <f t="shared" si="0"/>
        <v>[nguoi_cap_nhat] [nvarchar] (32) NULL</v>
      </c>
      <c r="C71" s="5"/>
      <c r="D71" s="5"/>
      <c r="E71" s="5"/>
      <c r="F71" s="6"/>
      <c r="G71" s="5"/>
      <c r="H71" s="5"/>
      <c r="I71" s="7"/>
      <c r="J71" s="7"/>
      <c r="K71" s="5"/>
      <c r="L71" s="8"/>
    </row>
    <row r="72" spans="1:12" x14ac:dyDescent="0.2">
      <c r="A72" s="9" t="s">
        <v>12</v>
      </c>
      <c r="B72" s="5"/>
      <c r="C72" s="5"/>
      <c r="D72" s="5"/>
      <c r="E72" s="5"/>
      <c r="F72" s="6"/>
      <c r="G72" s="5"/>
      <c r="H72" s="5"/>
      <c r="I72" s="7"/>
      <c r="J72" s="7"/>
      <c r="K72" s="5"/>
      <c r="L72" s="8"/>
    </row>
    <row r="73" spans="1:12" x14ac:dyDescent="0.2">
      <c r="A73" s="9" t="s">
        <v>11</v>
      </c>
      <c r="B73" s="5"/>
      <c r="C73" s="5"/>
      <c r="D73" s="5"/>
      <c r="E73" s="5"/>
      <c r="F73" s="6"/>
      <c r="G73" s="5"/>
      <c r="H73" s="5"/>
      <c r="I73" s="7"/>
      <c r="J73" s="7"/>
      <c r="K73" s="5"/>
      <c r="L73" s="8"/>
    </row>
    <row r="74" spans="1:12" x14ac:dyDescent="0.2">
      <c r="A74" s="9"/>
      <c r="B74" s="5"/>
      <c r="C74" s="5"/>
      <c r="D74" s="5"/>
      <c r="E74" s="5"/>
      <c r="F74" s="6"/>
      <c r="G74" s="5"/>
      <c r="H74" s="5"/>
      <c r="I74" s="7"/>
      <c r="J74" s="7"/>
      <c r="K74" s="5"/>
      <c r="L74" s="8"/>
    </row>
    <row r="75" spans="1:12" x14ac:dyDescent="0.2">
      <c r="A75" s="9" t="str">
        <f>"ALTER TABLE [dbo].["&amp;$B$1&amp;"] ADD"</f>
        <v>ALTER TABLE [dbo].[Merchant_Info] ADD</v>
      </c>
      <c r="B75" s="5"/>
      <c r="C75" s="5"/>
      <c r="D75" s="5"/>
      <c r="E75" s="5"/>
      <c r="F75" s="6"/>
      <c r="G75" s="5"/>
      <c r="H75" s="5"/>
      <c r="I75" s="7"/>
      <c r="J75" s="7"/>
      <c r="K75" s="5"/>
      <c r="L75" s="8"/>
    </row>
    <row r="76" spans="1:12" x14ac:dyDescent="0.2">
      <c r="A76" s="9"/>
      <c r="B76" s="5" t="str">
        <f>"CONSTRAINT [PK_"&amp;$B$1&amp;"] PRIMARY KEY  CLUSTERED"</f>
        <v>CONSTRAINT [PK_Merchant_Info] PRIMARY KEY  CLUSTERED</v>
      </c>
      <c r="C76" s="5"/>
      <c r="D76" s="5"/>
      <c r="E76" s="5"/>
      <c r="F76" s="6"/>
      <c r="G76" s="5"/>
      <c r="H76" s="5"/>
      <c r="I76" s="7"/>
      <c r="J76" s="7"/>
      <c r="K76" s="5"/>
      <c r="L76" s="8"/>
    </row>
    <row r="77" spans="1:12" x14ac:dyDescent="0.2">
      <c r="A77" s="9"/>
      <c r="B77" s="5" t="s">
        <v>13</v>
      </c>
      <c r="C77" s="5"/>
      <c r="D77" s="5"/>
      <c r="E77" s="5"/>
      <c r="F77" s="6"/>
      <c r="G77" s="5"/>
      <c r="H77" s="5"/>
      <c r="I77" s="7"/>
      <c r="J77" s="7"/>
      <c r="K77" s="5"/>
      <c r="L77" s="8"/>
    </row>
    <row r="78" spans="1:12" x14ac:dyDescent="0.2">
      <c r="A78" s="9"/>
      <c r="B78" s="5"/>
      <c r="C78" s="5" t="str">
        <f>IF(D4=TRUE, "["&amp;A4&amp;"]"&amp;IF(D5="", "", ", "), "")</f>
        <v xml:space="preserve">[id], </v>
      </c>
      <c r="D78" s="5"/>
      <c r="E78" s="5"/>
      <c r="F78" s="6"/>
      <c r="G78" s="5"/>
      <c r="H78" s="5"/>
      <c r="I78" s="7"/>
      <c r="J78" s="7"/>
      <c r="K78" s="5"/>
      <c r="L78" s="8"/>
    </row>
    <row r="79" spans="1:12" x14ac:dyDescent="0.2">
      <c r="A79" s="9"/>
      <c r="B79" s="5"/>
      <c r="C79" s="5" t="str">
        <f>IF(D5=TRUE, "["&amp;A5&amp;"]"&amp;IF(D6="", "", ", "), "")</f>
        <v>[ma_gian_hang]</v>
      </c>
      <c r="D79" s="5"/>
      <c r="E79" s="5"/>
      <c r="F79" s="6"/>
      <c r="G79" s="5"/>
      <c r="H79" s="5"/>
      <c r="I79" s="7"/>
      <c r="J79" s="7"/>
      <c r="K79" s="5"/>
      <c r="L79" s="8"/>
    </row>
    <row r="80" spans="1:12" x14ac:dyDescent="0.2">
      <c r="A80" s="9"/>
      <c r="B80" s="5"/>
      <c r="C80" s="5" t="str">
        <f>IF(D6=TRUE, "["&amp;A6&amp;"]"&amp;IF(D7="", "", ", "), "")</f>
        <v/>
      </c>
      <c r="D80" s="5"/>
      <c r="E80" s="5"/>
      <c r="F80" s="6"/>
      <c r="G80" s="5"/>
      <c r="H80" s="5"/>
      <c r="I80" s="7"/>
      <c r="J80" s="7"/>
      <c r="K80" s="5"/>
      <c r="L80" s="8"/>
    </row>
    <row r="81" spans="1:12" x14ac:dyDescent="0.2">
      <c r="A81" s="9"/>
      <c r="B81" s="5" t="s">
        <v>14</v>
      </c>
      <c r="C81" s="5"/>
      <c r="D81" s="5"/>
      <c r="E81" s="5"/>
      <c r="F81" s="6"/>
      <c r="G81" s="5"/>
      <c r="H81" s="5"/>
      <c r="I81" s="7"/>
      <c r="J81" s="7"/>
      <c r="K81" s="5"/>
      <c r="L81" s="8"/>
    </row>
    <row r="82" spans="1:12" ht="13.5" thickBot="1" x14ac:dyDescent="0.25">
      <c r="A82" s="11" t="s">
        <v>11</v>
      </c>
      <c r="B82" s="12"/>
      <c r="C82" s="12"/>
      <c r="D82" s="12"/>
      <c r="E82" s="12"/>
      <c r="F82" s="13"/>
      <c r="G82" s="12"/>
      <c r="H82" s="12"/>
      <c r="I82" s="14"/>
      <c r="J82" s="14"/>
      <c r="K82" s="12"/>
      <c r="L82" s="15"/>
    </row>
    <row r="83" spans="1:12" x14ac:dyDescent="0.2">
      <c r="A83" s="2"/>
      <c r="B83" s="2"/>
      <c r="C83" s="2"/>
      <c r="D83" s="2"/>
      <c r="E83" s="2"/>
      <c r="F83" s="3"/>
      <c r="G83" s="2"/>
      <c r="H83" s="2"/>
      <c r="I83" s="4"/>
      <c r="J83" s="4"/>
      <c r="K83" s="2"/>
      <c r="L83" s="2"/>
    </row>
    <row r="84" spans="1:12" x14ac:dyDescent="0.2">
      <c r="C84" t="s">
        <v>44</v>
      </c>
    </row>
    <row r="88" spans="1:12" x14ac:dyDescent="0.2">
      <c r="A88" s="37" t="s">
        <v>45</v>
      </c>
      <c r="B88" s="37" t="str">
        <f>B1</f>
        <v>Merchant_Info</v>
      </c>
      <c r="C88" s="37"/>
    </row>
    <row r="89" spans="1:12" x14ac:dyDescent="0.2">
      <c r="A89" s="37" t="s">
        <v>46</v>
      </c>
      <c r="B89" s="37"/>
      <c r="C89" s="37"/>
    </row>
    <row r="90" spans="1:12" x14ac:dyDescent="0.2">
      <c r="A90" s="37"/>
      <c r="B90" s="37" t="s">
        <v>47</v>
      </c>
      <c r="C90" s="37"/>
    </row>
    <row r="91" spans="1:12" x14ac:dyDescent="0.2">
      <c r="A91" s="37"/>
      <c r="B91" s="37" t="s">
        <v>48</v>
      </c>
      <c r="C91" s="37"/>
    </row>
    <row r="92" spans="1:12" x14ac:dyDescent="0.2">
      <c r="A92" s="37" t="s">
        <v>49</v>
      </c>
      <c r="B92" s="37" t="str">
        <f>IF(OR($B4="nvarchar",$B4="varchar"),"string",IF($B4="datetime","DateTime",$B4))</f>
        <v>int</v>
      </c>
      <c r="C92" s="37" t="str">
        <f>A4&amp;" "&amp;$C$84</f>
        <v>id  { get; set; }</v>
      </c>
    </row>
    <row r="93" spans="1:12" x14ac:dyDescent="0.2">
      <c r="A93" s="37" t="s">
        <v>49</v>
      </c>
      <c r="B93" s="37" t="str">
        <f t="shared" ref="B93:B121" si="1">IF(OR($B5="nvarchar",$B5="varchar"),"string",IF($B5="datetime","DateTime",$B5))</f>
        <v>string</v>
      </c>
      <c r="C93" s="37" t="str">
        <f t="shared" ref="C93:C121" si="2">A5&amp;" "&amp;$C$84</f>
        <v>ma_gian_hang  { get; set; }</v>
      </c>
    </row>
    <row r="94" spans="1:12" x14ac:dyDescent="0.2">
      <c r="A94" s="37" t="s">
        <v>49</v>
      </c>
      <c r="B94" s="37" t="str">
        <f t="shared" si="1"/>
        <v>string</v>
      </c>
      <c r="C94" s="37" t="str">
        <f t="shared" si="2"/>
        <v>ten_gian_hang  { get; set; }</v>
      </c>
    </row>
    <row r="95" spans="1:12" x14ac:dyDescent="0.2">
      <c r="A95" s="37" t="s">
        <v>49</v>
      </c>
      <c r="B95" s="37" t="str">
        <f t="shared" si="1"/>
        <v>string</v>
      </c>
      <c r="C95" s="37" t="str">
        <f t="shared" si="2"/>
        <v>ten_viet_tat  { get; set; }</v>
      </c>
    </row>
    <row r="96" spans="1:12" x14ac:dyDescent="0.2">
      <c r="A96" s="37" t="s">
        <v>49</v>
      </c>
      <c r="B96" s="37" t="str">
        <f t="shared" si="1"/>
        <v>string</v>
      </c>
      <c r="C96" s="37" t="str">
        <f t="shared" si="2"/>
        <v>ten_tieng_anh  { get; set; }</v>
      </c>
    </row>
    <row r="97" spans="1:3" x14ac:dyDescent="0.2">
      <c r="A97" s="37" t="s">
        <v>49</v>
      </c>
      <c r="B97" s="37" t="str">
        <f t="shared" si="1"/>
        <v>string</v>
      </c>
      <c r="C97" s="37" t="str">
        <f t="shared" si="2"/>
        <v>website  { get; set; }</v>
      </c>
    </row>
    <row r="98" spans="1:3" x14ac:dyDescent="0.2">
      <c r="A98" s="37" t="s">
        <v>49</v>
      </c>
      <c r="B98" s="37" t="str">
        <f t="shared" si="1"/>
        <v>string</v>
      </c>
      <c r="C98" s="37" t="str">
        <f t="shared" si="2"/>
        <v>dien_thoai  { get; set; }</v>
      </c>
    </row>
    <row r="99" spans="1:3" x14ac:dyDescent="0.2">
      <c r="A99" s="37" t="s">
        <v>49</v>
      </c>
      <c r="B99" s="37" t="str">
        <f t="shared" si="1"/>
        <v>string</v>
      </c>
      <c r="C99" s="37" t="str">
        <f t="shared" si="2"/>
        <v>email  { get; set; }</v>
      </c>
    </row>
    <row r="100" spans="1:3" x14ac:dyDescent="0.2">
      <c r="A100" s="37" t="s">
        <v>49</v>
      </c>
      <c r="B100" s="37" t="str">
        <f t="shared" si="1"/>
        <v>string</v>
      </c>
      <c r="C100" s="37" t="str">
        <f t="shared" si="2"/>
        <v>fax  { get; set; }</v>
      </c>
    </row>
    <row r="101" spans="1:3" x14ac:dyDescent="0.2">
      <c r="A101" s="37" t="s">
        <v>49</v>
      </c>
      <c r="B101" s="37" t="str">
        <f t="shared" si="1"/>
        <v>string</v>
      </c>
      <c r="C101" s="37" t="str">
        <f t="shared" si="2"/>
        <v>dia_chi_tru_so  { get; set; }</v>
      </c>
    </row>
    <row r="102" spans="1:3" x14ac:dyDescent="0.2">
      <c r="A102" s="37" t="s">
        <v>49</v>
      </c>
      <c r="B102" s="37" t="str">
        <f t="shared" si="1"/>
        <v>string</v>
      </c>
      <c r="C102" s="37" t="str">
        <f t="shared" si="2"/>
        <v>ma_tinh_tp  { get; set; }</v>
      </c>
    </row>
    <row r="103" spans="1:3" x14ac:dyDescent="0.2">
      <c r="A103" s="37" t="s">
        <v>49</v>
      </c>
      <c r="B103" s="37" t="str">
        <f t="shared" si="1"/>
        <v>string</v>
      </c>
      <c r="C103" s="37" t="str">
        <f t="shared" si="2"/>
        <v>ten_tinh_tp  { get; set; }</v>
      </c>
    </row>
    <row r="104" spans="1:3" x14ac:dyDescent="0.2">
      <c r="A104" s="37" t="s">
        <v>49</v>
      </c>
      <c r="B104" s="37" t="str">
        <f t="shared" si="1"/>
        <v>string</v>
      </c>
      <c r="C104" s="37" t="str">
        <f t="shared" si="2"/>
        <v>ma_quan_huyen  { get; set; }</v>
      </c>
    </row>
    <row r="105" spans="1:3" x14ac:dyDescent="0.2">
      <c r="A105" s="37" t="s">
        <v>49</v>
      </c>
      <c r="B105" s="37" t="str">
        <f t="shared" si="1"/>
        <v>string</v>
      </c>
      <c r="C105" s="37" t="str">
        <f t="shared" si="2"/>
        <v>ten_quan_huyen  { get; set; }</v>
      </c>
    </row>
    <row r="106" spans="1:3" x14ac:dyDescent="0.2">
      <c r="A106" s="37" t="s">
        <v>49</v>
      </c>
      <c r="B106" s="37" t="str">
        <f t="shared" si="1"/>
        <v>DateTime</v>
      </c>
      <c r="C106" s="37" t="str">
        <f t="shared" si="2"/>
        <v>ngay_tiep_xuc  { get; set; }</v>
      </c>
    </row>
    <row r="107" spans="1:3" x14ac:dyDescent="0.2">
      <c r="A107" s="37" t="s">
        <v>49</v>
      </c>
      <c r="B107" s="37" t="str">
        <f t="shared" si="1"/>
        <v>DateTime</v>
      </c>
      <c r="C107" s="37" t="str">
        <f t="shared" si="2"/>
        <v>ngay_ky_hop_dong  { get; set; }</v>
      </c>
    </row>
    <row r="108" spans="1:3" x14ac:dyDescent="0.2">
      <c r="A108" s="37" t="s">
        <v>49</v>
      </c>
      <c r="B108" s="37" t="str">
        <f t="shared" si="1"/>
        <v>DateTime</v>
      </c>
      <c r="C108" s="37" t="str">
        <f t="shared" si="2"/>
        <v>ngay_hoat_dong  { get; set; }</v>
      </c>
    </row>
    <row r="109" spans="1:3" x14ac:dyDescent="0.2">
      <c r="A109" s="37" t="s">
        <v>49</v>
      </c>
      <c r="B109" s="37" t="str">
        <f t="shared" si="1"/>
        <v>string</v>
      </c>
      <c r="C109" s="37" t="str">
        <f t="shared" si="2"/>
        <v>ly_do_giay_to_phap_ly  { get; set; }</v>
      </c>
    </row>
    <row r="110" spans="1:3" x14ac:dyDescent="0.2">
      <c r="A110" s="37" t="s">
        <v>49</v>
      </c>
      <c r="B110" s="37" t="str">
        <f t="shared" si="1"/>
        <v>string</v>
      </c>
      <c r="C110" s="37" t="str">
        <f t="shared" si="2"/>
        <v>tai_khoan_thanh_toan  { get; set; }</v>
      </c>
    </row>
    <row r="111" spans="1:3" x14ac:dyDescent="0.2">
      <c r="A111" s="37" t="s">
        <v>49</v>
      </c>
      <c r="B111" s="37" t="str">
        <f t="shared" si="1"/>
        <v>string</v>
      </c>
      <c r="C111" s="37" t="str">
        <f t="shared" si="2"/>
        <v>dao_tao_quan_ly  { get; set; }</v>
      </c>
    </row>
    <row r="112" spans="1:3" x14ac:dyDescent="0.2">
      <c r="A112" s="37" t="s">
        <v>49</v>
      </c>
      <c r="B112" s="37" t="str">
        <f t="shared" si="1"/>
        <v>string</v>
      </c>
      <c r="C112" s="37" t="str">
        <f t="shared" si="2"/>
        <v>trang_thai_duyet  { get; set; }</v>
      </c>
    </row>
    <row r="113" spans="1:3" x14ac:dyDescent="0.2">
      <c r="A113" s="37" t="s">
        <v>49</v>
      </c>
      <c r="B113" s="37" t="str">
        <f t="shared" si="1"/>
        <v>string</v>
      </c>
      <c r="C113" s="37" t="str">
        <f t="shared" si="2"/>
        <v>trang_thai_xuat_ban  { get; set; }</v>
      </c>
    </row>
    <row r="114" spans="1:3" x14ac:dyDescent="0.2">
      <c r="A114" s="37" t="s">
        <v>49</v>
      </c>
      <c r="B114" s="37" t="str">
        <f t="shared" si="1"/>
        <v>string</v>
      </c>
      <c r="C114" s="37" t="str">
        <f t="shared" si="2"/>
        <v>trang_thai_xac_thuc  { get; set; }</v>
      </c>
    </row>
    <row r="115" spans="1:3" x14ac:dyDescent="0.2">
      <c r="A115" s="37" t="s">
        <v>49</v>
      </c>
      <c r="B115" s="37" t="str">
        <f t="shared" si="1"/>
        <v>string</v>
      </c>
      <c r="C115" s="37" t="str">
        <f t="shared" si="2"/>
        <v>nguoi_duyet  { get; set; }</v>
      </c>
    </row>
    <row r="116" spans="1:3" x14ac:dyDescent="0.2">
      <c r="A116" s="37" t="s">
        <v>49</v>
      </c>
      <c r="B116" s="37" t="str">
        <f t="shared" si="1"/>
        <v>DateTime</v>
      </c>
      <c r="C116" s="37" t="str">
        <f t="shared" si="2"/>
        <v>ngay_duyet  { get; set; }</v>
      </c>
    </row>
    <row r="117" spans="1:3" x14ac:dyDescent="0.2">
      <c r="A117" s="37" t="s">
        <v>49</v>
      </c>
      <c r="B117" s="37" t="str">
        <f t="shared" si="1"/>
        <v>string</v>
      </c>
      <c r="C117" s="37" t="str">
        <f t="shared" si="2"/>
        <v>mo_ta  { get; set; }</v>
      </c>
    </row>
    <row r="118" spans="1:3" x14ac:dyDescent="0.2">
      <c r="A118" s="37" t="s">
        <v>49</v>
      </c>
      <c r="B118" s="37" t="str">
        <f t="shared" si="1"/>
        <v>DateTime</v>
      </c>
      <c r="C118" s="37" t="str">
        <f t="shared" si="2"/>
        <v>ngay_tao  { get; set; }</v>
      </c>
    </row>
    <row r="119" spans="1:3" x14ac:dyDescent="0.2">
      <c r="A119" s="37" t="s">
        <v>49</v>
      </c>
      <c r="B119" s="37" t="str">
        <f t="shared" si="1"/>
        <v>string</v>
      </c>
      <c r="C119" s="37" t="str">
        <f t="shared" si="2"/>
        <v>nguoi_tao  { get; set; }</v>
      </c>
    </row>
    <row r="120" spans="1:3" x14ac:dyDescent="0.2">
      <c r="A120" s="37" t="s">
        <v>49</v>
      </c>
      <c r="B120" s="37" t="str">
        <f t="shared" si="1"/>
        <v>DateTime</v>
      </c>
      <c r="C120" s="37" t="str">
        <f t="shared" si="2"/>
        <v>ngay_cap_nhat  { get; set; }</v>
      </c>
    </row>
    <row r="121" spans="1:3" x14ac:dyDescent="0.2">
      <c r="A121" s="37" t="s">
        <v>49</v>
      </c>
      <c r="B121" s="37" t="str">
        <f t="shared" si="1"/>
        <v>string</v>
      </c>
      <c r="C121" s="37" t="str">
        <f t="shared" si="2"/>
        <v>nguoi_cap_nhat  { get; set; }</v>
      </c>
    </row>
    <row r="122" spans="1:3" x14ac:dyDescent="0.2">
      <c r="A122" s="37" t="s">
        <v>50</v>
      </c>
      <c r="B122" s="37"/>
      <c r="C122" s="37" t="str">
        <f>IF($B35="nvarchar","("&amp;$C$5&amp;")",IF($B35="varchar","("&amp;$C35&amp;")",""))</f>
        <v/>
      </c>
    </row>
    <row r="124" spans="1:3" x14ac:dyDescent="0.2">
      <c r="A124" s="37" t="s">
        <v>72</v>
      </c>
    </row>
    <row r="125" spans="1:3" s="41" customFormat="1" x14ac:dyDescent="0.2">
      <c r="A125" s="40" t="str">
        <f>"DROP TABLE IF EXISTS "&amp;$B$1&amp;";"</f>
        <v>DROP TABLE IF EXISTS Merchant_Info;</v>
      </c>
    </row>
    <row r="126" spans="1:3" s="41" customFormat="1" x14ac:dyDescent="0.2">
      <c r="A126" s="42" t="str">
        <f>"CREATE TABLE "&amp;$B$1&amp;"("</f>
        <v>CREATE TABLE Merchant_Info(</v>
      </c>
    </row>
    <row r="127" spans="1:3" s="41" customFormat="1" x14ac:dyDescent="0.2">
      <c r="B127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28" spans="1:3" s="41" customFormat="1" x14ac:dyDescent="0.2">
      <c r="B128" s="41" t="str">
        <f t="shared" ref="B128:B156" si="3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ma_gian_hang varchar(15) NOT NULL, </v>
      </c>
    </row>
    <row r="129" spans="2:2" s="41" customFormat="1" x14ac:dyDescent="0.2">
      <c r="B129" s="41" t="str">
        <f t="shared" si="3"/>
        <v xml:space="preserve">ten_gian_hang nvarchar(15) NOT NULL, </v>
      </c>
    </row>
    <row r="130" spans="2:2" s="41" customFormat="1" x14ac:dyDescent="0.2">
      <c r="B130" s="41" t="str">
        <f t="shared" si="3"/>
        <v xml:space="preserve">ten_viet_tat nvarchar(100) NOT NULL, </v>
      </c>
    </row>
    <row r="131" spans="2:2" s="41" customFormat="1" x14ac:dyDescent="0.2">
      <c r="B131" s="41" t="str">
        <f t="shared" si="3"/>
        <v xml:space="preserve">ten_tieng_anh nvarchar(100) NOT NULL, </v>
      </c>
    </row>
    <row r="132" spans="2:2" s="41" customFormat="1" x14ac:dyDescent="0.2">
      <c r="B132" s="41" t="str">
        <f t="shared" si="3"/>
        <v xml:space="preserve">website nvarchar(50) NOT NULL, </v>
      </c>
    </row>
    <row r="133" spans="2:2" s="41" customFormat="1" x14ac:dyDescent="0.2">
      <c r="B133" s="41" t="str">
        <f t="shared" si="3"/>
        <v xml:space="preserve">dien_thoai nvarchar(20) NOT NULL, </v>
      </c>
    </row>
    <row r="134" spans="2:2" s="41" customFormat="1" x14ac:dyDescent="0.2">
      <c r="B134" s="41" t="str">
        <f t="shared" si="3"/>
        <v xml:space="preserve">email nvarchar(30) NOT NULL, </v>
      </c>
    </row>
    <row r="135" spans="2:2" s="41" customFormat="1" x14ac:dyDescent="0.2">
      <c r="B135" s="41" t="str">
        <f t="shared" si="3"/>
        <v xml:space="preserve">fax nvarchar(20) NOT NULL, </v>
      </c>
    </row>
    <row r="136" spans="2:2" s="41" customFormat="1" x14ac:dyDescent="0.2">
      <c r="B136" s="41" t="str">
        <f t="shared" si="3"/>
        <v xml:space="preserve">dia_chi_tru_so nvarchar(20) NOT NULL, </v>
      </c>
    </row>
    <row r="137" spans="2:2" s="41" customFormat="1" x14ac:dyDescent="0.2">
      <c r="B137" s="41" t="str">
        <f t="shared" si="3"/>
        <v xml:space="preserve">ma_tinh_tp varchar(20) NOT NULL, </v>
      </c>
    </row>
    <row r="138" spans="2:2" s="41" customFormat="1" x14ac:dyDescent="0.2">
      <c r="B138" s="41" t="str">
        <f t="shared" si="3"/>
        <v xml:space="preserve">ten_tinh_tp nvarchar(100) NOT NULL, </v>
      </c>
    </row>
    <row r="139" spans="2:2" s="41" customFormat="1" x14ac:dyDescent="0.2">
      <c r="B139" s="41" t="str">
        <f t="shared" si="3"/>
        <v xml:space="preserve">ma_quan_huyen varchar(20) NOT NULL, </v>
      </c>
    </row>
    <row r="140" spans="2:2" s="41" customFormat="1" x14ac:dyDescent="0.2">
      <c r="B140" s="41" t="str">
        <f t="shared" si="3"/>
        <v xml:space="preserve">ten_quan_huyen nvarchar(100) NOT NULL, </v>
      </c>
    </row>
    <row r="141" spans="2:2" s="41" customFormat="1" x14ac:dyDescent="0.2">
      <c r="B141" s="41" t="str">
        <f t="shared" si="3"/>
        <v xml:space="preserve">ngay_tiep_xuc datetime NOT NULL, </v>
      </c>
    </row>
    <row r="142" spans="2:2" s="41" customFormat="1" x14ac:dyDescent="0.2">
      <c r="B142" s="41" t="str">
        <f t="shared" si="3"/>
        <v xml:space="preserve">ngay_ky_hop_dong datetime NOT NULL, </v>
      </c>
    </row>
    <row r="143" spans="2:2" s="41" customFormat="1" x14ac:dyDescent="0.2">
      <c r="B143" s="41" t="str">
        <f t="shared" si="3"/>
        <v xml:space="preserve">ngay_hoat_dong datetime NULL, </v>
      </c>
    </row>
    <row r="144" spans="2:2" s="41" customFormat="1" x14ac:dyDescent="0.2">
      <c r="B144" s="41" t="str">
        <f t="shared" si="3"/>
        <v xml:space="preserve">ly_do_giay_to_phap_ly nvarchar(500) NULL, </v>
      </c>
    </row>
    <row r="145" spans="1:2" s="41" customFormat="1" x14ac:dyDescent="0.2">
      <c r="B145" s="41" t="str">
        <f t="shared" si="3"/>
        <v xml:space="preserve">tai_khoan_thanh_toan nvarchar(30) NULL, </v>
      </c>
    </row>
    <row r="146" spans="1:2" s="41" customFormat="1" x14ac:dyDescent="0.2">
      <c r="B146" s="41" t="str">
        <f t="shared" si="3"/>
        <v xml:space="preserve">dao_tao_quan_ly nvarchar(500) NULL, </v>
      </c>
    </row>
    <row r="147" spans="1:2" s="41" customFormat="1" x14ac:dyDescent="0.2">
      <c r="B147" s="41" t="str">
        <f t="shared" si="3"/>
        <v xml:space="preserve">trang_thai_duyet nvarchar(15) NOT NULL, </v>
      </c>
    </row>
    <row r="148" spans="1:2" s="41" customFormat="1" x14ac:dyDescent="0.2">
      <c r="B148" s="41" t="str">
        <f t="shared" si="3"/>
        <v xml:space="preserve">trang_thai_xuat_ban nvarchar(15) NULL, </v>
      </c>
    </row>
    <row r="149" spans="1:2" s="41" customFormat="1" x14ac:dyDescent="0.2">
      <c r="B149" s="41" t="str">
        <f t="shared" si="3"/>
        <v xml:space="preserve">trang_thai_xac_thuc varchar(1) NOT NULL, </v>
      </c>
    </row>
    <row r="150" spans="1:2" s="41" customFormat="1" x14ac:dyDescent="0.2">
      <c r="B150" s="41" t="str">
        <f t="shared" si="3"/>
        <v xml:space="preserve">nguoi_duyet varchar(32) NULL, </v>
      </c>
    </row>
    <row r="151" spans="1:2" s="41" customFormat="1" x14ac:dyDescent="0.2">
      <c r="B151" s="41" t="str">
        <f t="shared" si="3"/>
        <v xml:space="preserve">ngay_duyet datetime NULL, </v>
      </c>
    </row>
    <row r="152" spans="1:2" s="41" customFormat="1" x14ac:dyDescent="0.2">
      <c r="B152" s="41" t="str">
        <f t="shared" si="3"/>
        <v xml:space="preserve">mo_ta nvarchar(500) NULL, </v>
      </c>
    </row>
    <row r="153" spans="1:2" s="41" customFormat="1" x14ac:dyDescent="0.2">
      <c r="B153" s="41" t="str">
        <f t="shared" si="3"/>
        <v xml:space="preserve">ngay_tao datetime NULL, </v>
      </c>
    </row>
    <row r="154" spans="1:2" s="41" customFormat="1" x14ac:dyDescent="0.2">
      <c r="B154" s="41" t="str">
        <f t="shared" si="3"/>
        <v xml:space="preserve">nguoi_tao nvarchar(32) NULL, </v>
      </c>
    </row>
    <row r="155" spans="1:2" s="41" customFormat="1" x14ac:dyDescent="0.2">
      <c r="B155" s="41" t="str">
        <f t="shared" si="3"/>
        <v xml:space="preserve">ngay_cap_nhat datetime NULL, </v>
      </c>
    </row>
    <row r="156" spans="1:2" s="41" customFormat="1" x14ac:dyDescent="0.2">
      <c r="B156" s="41" t="str">
        <f t="shared" si="3"/>
        <v>nguoi_cap_nhat nvarchar(32) NULL</v>
      </c>
    </row>
    <row r="157" spans="1:2" s="41" customFormat="1" x14ac:dyDescent="0.2">
      <c r="A157" s="41" t="s">
        <v>74</v>
      </c>
    </row>
    <row r="158" spans="1:2" s="41" customFormat="1" x14ac:dyDescent="0.2">
      <c r="B158" s="5" t="str">
        <f>IF(D4=TRUE, A4&amp;IF(D5="", "", ", "), "")</f>
        <v xml:space="preserve">id, </v>
      </c>
    </row>
    <row r="159" spans="1:2" s="41" customFormat="1" x14ac:dyDescent="0.2">
      <c r="B159" s="5" t="str">
        <f>IF(D5=TRUE, A5&amp;IF(D6="", "", ", "), "")</f>
        <v>ma_gian_hang</v>
      </c>
    </row>
    <row r="160" spans="1:2" s="41" customFormat="1" x14ac:dyDescent="0.2">
      <c r="B160" s="41" t="s">
        <v>75</v>
      </c>
    </row>
    <row r="161" spans="1:1" s="41" customFormat="1" x14ac:dyDescent="0.2">
      <c r="A161" s="41" t="s">
        <v>73</v>
      </c>
    </row>
    <row r="162" spans="1:1" s="41" customFormat="1" x14ac:dyDescent="0.2"/>
    <row r="163" spans="1:1" s="41" customFormat="1" x14ac:dyDescent="0.2"/>
    <row r="164" spans="1:1" s="41" customFormat="1" x14ac:dyDescent="0.2"/>
    <row r="165" spans="1:1" s="41" customFormat="1" x14ac:dyDescent="0.2"/>
  </sheetData>
  <mergeCells count="1">
    <mergeCell ref="A35:B35"/>
  </mergeCells>
  <hyperlinks>
    <hyperlink ref="D1" location="'Sheet List'!A1" display="back to list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2"/>
  <sheetViews>
    <sheetView workbookViewId="0">
      <selection activeCell="A8" sqref="A8"/>
    </sheetView>
  </sheetViews>
  <sheetFormatPr defaultRowHeight="12.75" x14ac:dyDescent="0.2"/>
  <cols>
    <col min="1" max="1" width="23.85546875" customWidth="1"/>
    <col min="2" max="2" width="24.140625" customWidth="1"/>
    <col min="3" max="3" width="28.425781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0" x14ac:dyDescent="0.2">
      <c r="A1" s="1" t="s">
        <v>8</v>
      </c>
      <c r="B1" s="1" t="s">
        <v>90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ht="15" x14ac:dyDescent="0.25">
      <c r="A5" s="38" t="s">
        <v>52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ht="15" x14ac:dyDescent="0.25">
      <c r="A6" s="38" t="s">
        <v>53</v>
      </c>
      <c r="B6" s="23" t="s">
        <v>7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ht="15" x14ac:dyDescent="0.25">
      <c r="A7" s="38" t="s">
        <v>26</v>
      </c>
      <c r="B7" s="23" t="s">
        <v>7</v>
      </c>
      <c r="C7" s="27">
        <v>20</v>
      </c>
      <c r="D7" s="23" t="b">
        <v>1</v>
      </c>
      <c r="E7" s="23"/>
      <c r="F7" s="23" t="b">
        <v>0</v>
      </c>
      <c r="G7" s="23"/>
      <c r="H7" s="23"/>
      <c r="I7" s="24"/>
      <c r="J7" s="25"/>
    </row>
    <row r="8" spans="1:10" ht="15" x14ac:dyDescent="0.25">
      <c r="A8" s="38" t="s">
        <v>54</v>
      </c>
      <c r="B8" s="23" t="s">
        <v>20</v>
      </c>
      <c r="C8" s="27">
        <v>512</v>
      </c>
      <c r="D8" s="23"/>
      <c r="E8" s="23"/>
      <c r="F8" s="23" t="b">
        <v>0</v>
      </c>
      <c r="G8" s="23"/>
      <c r="H8" s="23"/>
      <c r="I8" s="24"/>
      <c r="J8" s="25"/>
    </row>
    <row r="9" spans="1:10" ht="15" x14ac:dyDescent="0.25">
      <c r="A9" s="51" t="s">
        <v>141</v>
      </c>
      <c r="B9" s="23" t="s">
        <v>7</v>
      </c>
      <c r="C9" s="27">
        <v>128</v>
      </c>
      <c r="D9" s="28"/>
      <c r="E9" s="28"/>
      <c r="F9" s="23" t="b">
        <v>0</v>
      </c>
      <c r="G9" s="28"/>
      <c r="H9" s="28"/>
      <c r="I9" s="31"/>
      <c r="J9" s="25"/>
    </row>
    <row r="10" spans="1:10" ht="14.25" customHeight="1" x14ac:dyDescent="0.25">
      <c r="A10" s="52" t="s">
        <v>43</v>
      </c>
      <c r="B10" s="23" t="s">
        <v>20</v>
      </c>
      <c r="C10" s="27">
        <v>512</v>
      </c>
      <c r="D10" s="23"/>
      <c r="E10" s="23"/>
      <c r="F10" s="23" t="b">
        <v>0</v>
      </c>
      <c r="G10" s="23"/>
      <c r="H10" s="23"/>
      <c r="I10" s="24"/>
      <c r="J10" s="25"/>
    </row>
    <row r="11" spans="1:10" ht="14.25" customHeight="1" x14ac:dyDescent="0.25">
      <c r="A11" s="52" t="s">
        <v>142</v>
      </c>
      <c r="B11" s="23" t="s">
        <v>20</v>
      </c>
      <c r="C11" s="27" t="s">
        <v>118</v>
      </c>
      <c r="D11" s="23"/>
      <c r="E11" s="23"/>
      <c r="F11" s="23" t="b">
        <v>0</v>
      </c>
      <c r="G11" s="23"/>
      <c r="H11" s="23"/>
      <c r="I11" s="24"/>
      <c r="J11" s="25"/>
    </row>
    <row r="12" spans="1:10" ht="15" x14ac:dyDescent="0.25">
      <c r="A12" s="38" t="s">
        <v>55</v>
      </c>
      <c r="B12" s="23" t="s">
        <v>19</v>
      </c>
      <c r="C12" s="27"/>
      <c r="D12" s="23"/>
      <c r="E12" s="23"/>
      <c r="F12" s="23" t="b">
        <v>0</v>
      </c>
      <c r="G12" s="23"/>
      <c r="H12" s="23"/>
      <c r="I12" s="24"/>
      <c r="J12" s="25"/>
    </row>
    <row r="13" spans="1:10" ht="15" x14ac:dyDescent="0.25">
      <c r="A13" s="50" t="s">
        <v>60</v>
      </c>
      <c r="B13" s="23" t="s">
        <v>56</v>
      </c>
      <c r="C13" s="27"/>
      <c r="D13" s="28"/>
      <c r="E13" s="28"/>
      <c r="F13" s="23" t="b">
        <v>0</v>
      </c>
      <c r="G13" s="28"/>
      <c r="H13" s="28"/>
      <c r="I13" s="31"/>
      <c r="J13" s="25"/>
    </row>
    <row r="14" spans="1:10" ht="15" x14ac:dyDescent="0.25">
      <c r="A14" s="50" t="s">
        <v>130</v>
      </c>
      <c r="B14" s="23" t="s">
        <v>56</v>
      </c>
      <c r="C14" s="27"/>
      <c r="D14" s="23"/>
      <c r="E14" s="23"/>
      <c r="F14" s="23" t="b">
        <v>0</v>
      </c>
      <c r="G14" s="23"/>
      <c r="H14" s="23"/>
      <c r="I14" s="24"/>
      <c r="J14" s="25"/>
    </row>
    <row r="15" spans="1:10" ht="15" x14ac:dyDescent="0.25">
      <c r="A15" s="51" t="s">
        <v>135</v>
      </c>
      <c r="B15" s="23" t="s">
        <v>20</v>
      </c>
      <c r="C15" s="27">
        <v>512</v>
      </c>
      <c r="D15" s="28"/>
      <c r="E15" s="28"/>
      <c r="F15" s="23" t="b">
        <v>0</v>
      </c>
      <c r="G15" s="28"/>
      <c r="H15" s="28"/>
      <c r="I15" s="31"/>
      <c r="J15" s="25"/>
    </row>
    <row r="16" spans="1:10" ht="15" x14ac:dyDescent="0.25">
      <c r="A16" s="51" t="s">
        <v>133</v>
      </c>
      <c r="B16" s="23" t="s">
        <v>7</v>
      </c>
      <c r="C16" s="27">
        <v>512</v>
      </c>
      <c r="D16" s="28"/>
      <c r="E16" s="28"/>
      <c r="F16" s="23" t="b">
        <v>0</v>
      </c>
      <c r="G16" s="28"/>
      <c r="H16" s="28"/>
      <c r="I16" s="31"/>
      <c r="J16" s="25"/>
    </row>
    <row r="17" spans="1:10" ht="15" x14ac:dyDescent="0.25">
      <c r="A17" s="51" t="s">
        <v>134</v>
      </c>
      <c r="B17" s="23" t="s">
        <v>7</v>
      </c>
      <c r="C17" s="27">
        <v>128</v>
      </c>
      <c r="D17" s="28"/>
      <c r="E17" s="28"/>
      <c r="F17" s="23" t="b">
        <v>0</v>
      </c>
      <c r="G17" s="28"/>
      <c r="H17" s="28"/>
      <c r="I17" s="31"/>
      <c r="J17" s="25"/>
    </row>
    <row r="18" spans="1:10" ht="15" x14ac:dyDescent="0.25">
      <c r="A18" s="51" t="s">
        <v>136</v>
      </c>
      <c r="B18" s="23" t="s">
        <v>20</v>
      </c>
      <c r="C18" s="27">
        <v>512</v>
      </c>
      <c r="D18" s="28"/>
      <c r="E18" s="28"/>
      <c r="F18" s="23" t="b">
        <v>1</v>
      </c>
      <c r="G18" s="28"/>
      <c r="H18" s="28"/>
      <c r="I18" s="31"/>
      <c r="J18" s="25"/>
    </row>
    <row r="19" spans="1:10" ht="15" x14ac:dyDescent="0.25">
      <c r="A19" s="51" t="s">
        <v>137</v>
      </c>
      <c r="B19" s="23" t="s">
        <v>20</v>
      </c>
      <c r="C19" s="27">
        <v>128</v>
      </c>
      <c r="D19" s="28"/>
      <c r="E19" s="28"/>
      <c r="F19" s="23" t="b">
        <v>0</v>
      </c>
      <c r="G19" s="28"/>
      <c r="H19" s="28"/>
      <c r="I19" s="31"/>
      <c r="J19" s="25"/>
    </row>
    <row r="20" spans="1:10" ht="15" x14ac:dyDescent="0.25">
      <c r="A20" s="51" t="s">
        <v>138</v>
      </c>
      <c r="B20" s="23" t="s">
        <v>20</v>
      </c>
      <c r="C20" s="27">
        <v>128</v>
      </c>
      <c r="D20" s="28"/>
      <c r="E20" s="28"/>
      <c r="F20" s="23" t="b">
        <v>1</v>
      </c>
      <c r="G20" s="28"/>
      <c r="H20" s="28"/>
      <c r="I20" s="31"/>
      <c r="J20" s="25"/>
    </row>
    <row r="21" spans="1:10" ht="15" x14ac:dyDescent="0.25">
      <c r="A21" s="51" t="s">
        <v>139</v>
      </c>
      <c r="B21" s="23" t="s">
        <v>20</v>
      </c>
      <c r="C21" s="27">
        <v>128</v>
      </c>
      <c r="D21" s="28"/>
      <c r="E21" s="28"/>
      <c r="F21" s="23" t="b">
        <v>0</v>
      </c>
      <c r="G21" s="28"/>
      <c r="H21" s="28"/>
      <c r="I21" s="31"/>
      <c r="J21" s="25"/>
    </row>
    <row r="22" spans="1:10" ht="15" x14ac:dyDescent="0.25">
      <c r="A22" s="51" t="s">
        <v>140</v>
      </c>
      <c r="B22" s="23" t="s">
        <v>19</v>
      </c>
      <c r="C22" s="27"/>
      <c r="D22" s="28"/>
      <c r="E22" s="28"/>
      <c r="F22" s="23" t="b">
        <v>0</v>
      </c>
      <c r="G22" s="28"/>
      <c r="H22" s="28"/>
      <c r="I22" s="31"/>
      <c r="J22" s="25"/>
    </row>
    <row r="23" spans="1:10" ht="15" x14ac:dyDescent="0.25">
      <c r="A23" s="38" t="s">
        <v>132</v>
      </c>
      <c r="B23" s="23" t="s">
        <v>7</v>
      </c>
      <c r="C23" s="27">
        <v>32</v>
      </c>
      <c r="D23" s="28"/>
      <c r="E23" s="28"/>
      <c r="F23" s="23" t="b">
        <v>0</v>
      </c>
      <c r="G23" s="28"/>
      <c r="H23" s="28"/>
      <c r="I23" s="31"/>
      <c r="J23" s="25"/>
    </row>
    <row r="24" spans="1:10" ht="15" x14ac:dyDescent="0.25">
      <c r="A24" s="38" t="s">
        <v>131</v>
      </c>
      <c r="B24" s="23" t="s">
        <v>9</v>
      </c>
      <c r="C24" s="27"/>
      <c r="D24" s="23"/>
      <c r="E24" s="23"/>
      <c r="F24" s="23" t="b">
        <v>0</v>
      </c>
      <c r="G24" s="23"/>
      <c r="H24" s="23"/>
      <c r="I24" s="24"/>
      <c r="J24" s="25"/>
    </row>
    <row r="25" spans="1:10" ht="14.25" customHeight="1" x14ac:dyDescent="0.25">
      <c r="A25" s="38" t="s">
        <v>39</v>
      </c>
      <c r="B25" s="23" t="s">
        <v>7</v>
      </c>
      <c r="C25" s="27">
        <v>20</v>
      </c>
      <c r="D25" s="23"/>
      <c r="E25" s="23"/>
      <c r="F25" s="23" t="b">
        <v>0</v>
      </c>
      <c r="G25" s="23"/>
      <c r="H25" s="23"/>
      <c r="I25" s="24"/>
      <c r="J25" s="25"/>
    </row>
    <row r="26" spans="1:10" ht="15" x14ac:dyDescent="0.25">
      <c r="A26" s="38" t="s">
        <v>41</v>
      </c>
      <c r="B26" s="23" t="s">
        <v>7</v>
      </c>
      <c r="C26" s="27">
        <v>32</v>
      </c>
      <c r="D26" s="28"/>
      <c r="E26" s="28"/>
      <c r="F26" s="23" t="b">
        <v>0</v>
      </c>
      <c r="G26" s="28"/>
      <c r="H26" s="28"/>
      <c r="I26" s="31"/>
      <c r="J26" s="25"/>
    </row>
    <row r="27" spans="1:10" ht="15" x14ac:dyDescent="0.25">
      <c r="A27" s="38" t="s">
        <v>42</v>
      </c>
      <c r="B27" s="23" t="s">
        <v>9</v>
      </c>
      <c r="C27" s="27"/>
      <c r="D27" s="23"/>
      <c r="E27" s="23"/>
      <c r="F27" s="23" t="b">
        <v>0</v>
      </c>
      <c r="G27" s="23"/>
      <c r="H27" s="23"/>
      <c r="I27" s="24"/>
      <c r="J27" s="25"/>
    </row>
    <row r="28" spans="1:10" ht="14.25" customHeight="1" x14ac:dyDescent="0.25">
      <c r="A28" s="38" t="s">
        <v>40</v>
      </c>
      <c r="B28" s="23" t="s">
        <v>7</v>
      </c>
      <c r="C28" s="27">
        <v>20</v>
      </c>
      <c r="D28" s="23"/>
      <c r="E28" s="23"/>
      <c r="F28" s="23" t="b">
        <v>0</v>
      </c>
      <c r="G28" s="23"/>
      <c r="H28" s="23"/>
      <c r="I28" s="24"/>
      <c r="J28" s="25"/>
    </row>
    <row r="29" spans="1:10" x14ac:dyDescent="0.2">
      <c r="A29" s="22" t="s">
        <v>51</v>
      </c>
      <c r="B29" s="23" t="s">
        <v>7</v>
      </c>
      <c r="C29" s="27">
        <v>32</v>
      </c>
      <c r="D29" s="23"/>
      <c r="E29" s="23"/>
      <c r="F29" s="23" t="b">
        <v>1</v>
      </c>
      <c r="G29" s="23"/>
      <c r="H29" s="23"/>
      <c r="I29" s="24"/>
      <c r="J29" s="25"/>
    </row>
    <row r="30" spans="1:10" x14ac:dyDescent="0.2">
      <c r="A30" s="22" t="s">
        <v>21</v>
      </c>
      <c r="B30" s="23" t="s">
        <v>9</v>
      </c>
      <c r="C30" s="27"/>
      <c r="D30" s="23"/>
      <c r="E30" s="23"/>
      <c r="F30" s="23" t="b">
        <v>1</v>
      </c>
      <c r="G30" s="23"/>
      <c r="H30" s="23"/>
      <c r="I30" s="24"/>
      <c r="J30" s="25"/>
    </row>
    <row r="31" spans="1:10" x14ac:dyDescent="0.2">
      <c r="A31" s="22" t="s">
        <v>22</v>
      </c>
      <c r="B31" s="23" t="s">
        <v>20</v>
      </c>
      <c r="C31" s="27">
        <v>32</v>
      </c>
      <c r="D31" s="23"/>
      <c r="E31" s="23"/>
      <c r="F31" s="23" t="b">
        <v>1</v>
      </c>
      <c r="G31" s="23"/>
      <c r="H31" s="23"/>
      <c r="I31" s="24"/>
      <c r="J31" s="25"/>
    </row>
    <row r="32" spans="1:10" x14ac:dyDescent="0.2">
      <c r="A32" s="22" t="s">
        <v>23</v>
      </c>
      <c r="B32" s="23" t="s">
        <v>9</v>
      </c>
      <c r="C32" s="27"/>
      <c r="D32" s="23"/>
      <c r="E32" s="23"/>
      <c r="F32" s="23" t="b">
        <v>1</v>
      </c>
      <c r="G32" s="23"/>
      <c r="H32" s="23"/>
      <c r="I32" s="24"/>
      <c r="J32" s="25"/>
    </row>
    <row r="33" spans="1:12" x14ac:dyDescent="0.2">
      <c r="A33" s="30" t="s">
        <v>24</v>
      </c>
      <c r="B33" s="28" t="s">
        <v>20</v>
      </c>
      <c r="C33" s="29">
        <v>32</v>
      </c>
      <c r="D33" s="28"/>
      <c r="E33" s="28"/>
      <c r="F33" s="28" t="b">
        <v>1</v>
      </c>
      <c r="G33" s="25"/>
      <c r="H33" s="25"/>
      <c r="I33" s="25"/>
      <c r="J33" s="25"/>
    </row>
    <row r="34" spans="1:12" ht="13.5" thickBot="1" x14ac:dyDescent="0.25"/>
    <row r="35" spans="1:12" ht="13.5" thickBot="1" x14ac:dyDescent="0.25">
      <c r="A35" s="60" t="s">
        <v>10</v>
      </c>
      <c r="B35" s="61"/>
      <c r="C35" s="16"/>
      <c r="D35" s="17"/>
      <c r="E35" s="17"/>
      <c r="F35" s="18"/>
      <c r="G35" s="18"/>
      <c r="H35" s="18"/>
      <c r="I35" s="18"/>
      <c r="J35" s="18"/>
      <c r="K35" s="18"/>
      <c r="L35" s="18"/>
    </row>
    <row r="36" spans="1:12" x14ac:dyDescent="0.2">
      <c r="A36" s="5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5" t="str">
        <f>"if exists (select * from dbo.sysobjects where id = object_id(N'[dbo].["&amp;$B$1&amp;"]') and OBJECTPROPERTY(id, N'IsUserTable') = 1)"</f>
        <v>if exists (select * from dbo.sysobjects where id = object_id(N'[dbo].[Merchant_Product]') and OBJECTPROPERTY(id, N'IsUserTable') = 1)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 t="str">
        <f>"drop table [dbo].["&amp;$B$1&amp;"]"</f>
        <v>drop table [dbo].[Merchant_Product]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 t="str">
        <f>"CREATE TABLE [dbo].["&amp;$B$1&amp;"] ("</f>
        <v>CREATE TABLE [dbo].[Merchant_Product] (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ref="B43:B7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[ma_san_pham] [varchar] (20)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[ma_loai_san_pham] [varchar] (20) NOT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[ma_gian_hang] [varchar] (20) NOT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[ten_san_pham] [nvarchar] (512) NOT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 xml:space="preserve">[part_no] [varchar] (128) NOT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 t="str">
        <f t="shared" si="0"/>
        <v xml:space="preserve">[mo_ta] [nvarchar] (512) NOT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10"/>
      <c r="B49" s="5" t="str">
        <f t="shared" si="0"/>
        <v xml:space="preserve">[noi_dung] [nvarchar] (MAX) NOT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10"/>
      <c r="B50" s="5" t="str">
        <f t="shared" si="0"/>
        <v xml:space="preserve">[trong_so] [int] NOT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10"/>
      <c r="B51" s="5" t="str">
        <f t="shared" si="0"/>
        <v xml:space="preserve">[don_gia] [float] NOT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10"/>
      <c r="B52" s="5" t="str">
        <f t="shared" si="0"/>
        <v xml:space="preserve">[gia_si] [float] NOT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10"/>
      <c r="B53" s="5" t="str">
        <f t="shared" si="0"/>
        <v xml:space="preserve">[tu_khoa] [nvarchar] (512) NOT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10"/>
      <c r="B54" s="5" t="str">
        <f t="shared" si="0"/>
        <v xml:space="preserve">[tag] [varchar] (512) NOT NULL, 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10"/>
      <c r="B55" s="5" t="str">
        <f t="shared" si="0"/>
        <v xml:space="preserve">[slug] [varchar] (128) NOT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10"/>
      <c r="B56" s="5" t="str">
        <f t="shared" si="0"/>
        <v xml:space="preserve">[url] [nvarchar] (512) NULL, </v>
      </c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10"/>
      <c r="B57" s="5" t="str">
        <f t="shared" si="0"/>
        <v xml:space="preserve">[xuat_xu] [nvarchar] (128) NOT NULL, </v>
      </c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10"/>
      <c r="B58" s="5" t="str">
        <f t="shared" si="0"/>
        <v xml:space="preserve">[thuong_hieu] [nvarchar] (128) NULL, </v>
      </c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10"/>
      <c r="B59" s="5" t="str">
        <f t="shared" si="0"/>
        <v xml:space="preserve">[model] [nvarchar] (128) NOT NULL, </v>
      </c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">
      <c r="A60" s="10"/>
      <c r="B60" s="5" t="str">
        <f t="shared" si="0"/>
        <v xml:space="preserve">[minimum_order] [int] NOT NULL, 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">
      <c r="A61" s="10"/>
      <c r="B61" s="5" t="str">
        <f t="shared" si="0"/>
        <v xml:space="preserve">[nguoi_xuat_ban] [varchar] (32) NOT NULL, 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">
      <c r="A62" s="10"/>
      <c r="B62" s="5" t="str">
        <f t="shared" si="0"/>
        <v xml:space="preserve">[ngay_xuat_ban] [datetime] NOT NULL, </v>
      </c>
      <c r="C62" s="5"/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">
      <c r="A63" s="10"/>
      <c r="B63" s="5" t="str">
        <f t="shared" si="0"/>
        <v xml:space="preserve">[trang_thai_xuat_ban] [varchar] (20) NOT NULL, </v>
      </c>
      <c r="C63" s="5"/>
      <c r="D63" s="5"/>
      <c r="E63" s="5"/>
      <c r="F63" s="6"/>
      <c r="G63" s="5"/>
      <c r="H63" s="5"/>
      <c r="I63" s="7"/>
      <c r="J63" s="7"/>
      <c r="K63" s="5"/>
      <c r="L63" s="8"/>
    </row>
    <row r="64" spans="1:12" x14ac:dyDescent="0.2">
      <c r="A64" s="10"/>
      <c r="B64" s="5" t="str">
        <f t="shared" si="0"/>
        <v xml:space="preserve">[nguoi_duyet] [varchar] (32) NOT NULL, </v>
      </c>
      <c r="C64" s="5"/>
      <c r="D64" s="5"/>
      <c r="E64" s="5"/>
      <c r="F64" s="6"/>
      <c r="G64" s="5"/>
      <c r="H64" s="5"/>
      <c r="I64" s="7"/>
      <c r="J64" s="7"/>
      <c r="K64" s="5"/>
      <c r="L64" s="8"/>
    </row>
    <row r="65" spans="1:12" x14ac:dyDescent="0.2">
      <c r="A65" s="10"/>
      <c r="B65" s="5" t="str">
        <f t="shared" si="0"/>
        <v xml:space="preserve">[ngay_duyet] [datetime] NOT NULL, </v>
      </c>
      <c r="C65" s="5"/>
      <c r="D65" s="5"/>
      <c r="E65" s="5"/>
      <c r="F65" s="6"/>
      <c r="G65" s="5"/>
      <c r="H65" s="5"/>
      <c r="I65" s="7"/>
      <c r="J65" s="7"/>
      <c r="K65" s="5"/>
      <c r="L65" s="8"/>
    </row>
    <row r="66" spans="1:12" x14ac:dyDescent="0.2">
      <c r="A66" s="10"/>
      <c r="B66" s="5" t="str">
        <f t="shared" si="0"/>
        <v xml:space="preserve">[trang_thai_duyet] [varchar] (20) NOT NULL, </v>
      </c>
      <c r="C66" s="5"/>
      <c r="D66" s="5"/>
      <c r="E66" s="5"/>
      <c r="F66" s="6"/>
      <c r="G66" s="5"/>
      <c r="H66" s="5"/>
      <c r="I66" s="7"/>
      <c r="J66" s="7"/>
      <c r="K66" s="5"/>
      <c r="L66" s="8"/>
    </row>
    <row r="67" spans="1:12" x14ac:dyDescent="0.2">
      <c r="A67" s="10"/>
      <c r="B67" s="5" t="str">
        <f t="shared" si="0"/>
        <v xml:space="preserve">[trang_thai] [varchar] (32) NULL, </v>
      </c>
      <c r="C67" s="5"/>
      <c r="D67" s="5"/>
      <c r="E67" s="5"/>
      <c r="F67" s="6"/>
      <c r="G67" s="5"/>
      <c r="H67" s="5"/>
      <c r="I67" s="7"/>
      <c r="J67" s="7"/>
      <c r="K67" s="5"/>
      <c r="L67" s="8"/>
    </row>
    <row r="68" spans="1:12" x14ac:dyDescent="0.2">
      <c r="A68" s="10"/>
      <c r="B68" s="5" t="str">
        <f t="shared" si="0"/>
        <v xml:space="preserve">[ngay_tao] [datetime] NULL, </v>
      </c>
      <c r="C68" s="5"/>
      <c r="D68" s="5"/>
      <c r="E68" s="5"/>
      <c r="F68" s="6"/>
      <c r="G68" s="5"/>
      <c r="H68" s="5"/>
      <c r="I68" s="7"/>
      <c r="J68" s="7"/>
      <c r="K68" s="5"/>
      <c r="L68" s="8"/>
    </row>
    <row r="69" spans="1:12" x14ac:dyDescent="0.2">
      <c r="A69" s="10"/>
      <c r="B69" s="5" t="str">
        <f t="shared" si="0"/>
        <v xml:space="preserve">[nguoi_tao] [nvarchar] (32) NULL, </v>
      </c>
      <c r="C69" s="5"/>
      <c r="D69" s="5"/>
      <c r="E69" s="5"/>
      <c r="F69" s="6"/>
      <c r="G69" s="5"/>
      <c r="H69" s="5"/>
      <c r="I69" s="7"/>
      <c r="J69" s="7"/>
      <c r="K69" s="5"/>
      <c r="L69" s="8"/>
    </row>
    <row r="70" spans="1:12" x14ac:dyDescent="0.2">
      <c r="A70" s="10"/>
      <c r="B70" s="5" t="str">
        <f t="shared" si="0"/>
        <v xml:space="preserve">[ngay_cap_nhat] [datetime] NULL, </v>
      </c>
      <c r="C70" s="5"/>
      <c r="D70" s="5"/>
      <c r="E70" s="5"/>
      <c r="F70" s="6"/>
      <c r="G70" s="5"/>
      <c r="H70" s="5"/>
      <c r="I70" s="7"/>
      <c r="J70" s="7"/>
      <c r="K70" s="5"/>
      <c r="L70" s="8"/>
    </row>
    <row r="71" spans="1:12" x14ac:dyDescent="0.2">
      <c r="A71" s="10"/>
      <c r="B71" s="5" t="str">
        <f t="shared" si="0"/>
        <v>[nguoi_cap_nhat] [nvarchar] (32) NULL</v>
      </c>
      <c r="C71" s="5"/>
      <c r="D71" s="5"/>
      <c r="E71" s="5"/>
      <c r="F71" s="6"/>
      <c r="G71" s="5"/>
      <c r="H71" s="5"/>
      <c r="I71" s="7"/>
      <c r="J71" s="7"/>
      <c r="K71" s="5"/>
      <c r="L71" s="8"/>
    </row>
    <row r="72" spans="1:12" x14ac:dyDescent="0.2">
      <c r="A72" s="9" t="s">
        <v>12</v>
      </c>
      <c r="B72" s="5"/>
      <c r="C72" s="5"/>
      <c r="D72" s="5"/>
      <c r="E72" s="5"/>
      <c r="F72" s="6"/>
      <c r="G72" s="5"/>
      <c r="H72" s="5"/>
      <c r="I72" s="7"/>
      <c r="J72" s="7"/>
      <c r="K72" s="5"/>
      <c r="L72" s="8"/>
    </row>
    <row r="73" spans="1:12" x14ac:dyDescent="0.2">
      <c r="A73" s="9" t="s">
        <v>11</v>
      </c>
      <c r="B73" s="5"/>
      <c r="C73" s="5"/>
      <c r="D73" s="5"/>
      <c r="E73" s="5"/>
      <c r="F73" s="6"/>
      <c r="G73" s="5"/>
      <c r="H73" s="5"/>
      <c r="I73" s="7"/>
      <c r="J73" s="7"/>
      <c r="K73" s="5"/>
      <c r="L73" s="8"/>
    </row>
    <row r="74" spans="1:12" x14ac:dyDescent="0.2">
      <c r="A74" s="9"/>
      <c r="B74" s="5"/>
      <c r="C74" s="5"/>
      <c r="D74" s="5"/>
      <c r="E74" s="5"/>
      <c r="F74" s="6"/>
      <c r="G74" s="5"/>
      <c r="H74" s="5"/>
      <c r="I74" s="7"/>
      <c r="J74" s="7"/>
      <c r="K74" s="5"/>
      <c r="L74" s="8"/>
    </row>
    <row r="75" spans="1:12" x14ac:dyDescent="0.2">
      <c r="A75" s="9" t="str">
        <f>"ALTER TABLE [dbo].["&amp;$B$1&amp;"] ADD"</f>
        <v>ALTER TABLE [dbo].[Merchant_Product] ADD</v>
      </c>
      <c r="B75" s="5"/>
      <c r="C75" s="5"/>
      <c r="D75" s="5"/>
      <c r="E75" s="5"/>
      <c r="F75" s="6"/>
      <c r="G75" s="5"/>
      <c r="H75" s="5"/>
      <c r="I75" s="7"/>
      <c r="J75" s="7"/>
      <c r="K75" s="5"/>
      <c r="L75" s="8"/>
    </row>
    <row r="76" spans="1:12" x14ac:dyDescent="0.2">
      <c r="A76" s="9"/>
      <c r="B76" s="5" t="str">
        <f>"CONSTRAINT [PK_"&amp;$B$1&amp;"] PRIMARY KEY  CLUSTERED"</f>
        <v>CONSTRAINT [PK_Merchant_Product] PRIMARY KEY  CLUSTERED</v>
      </c>
      <c r="C76" s="5"/>
      <c r="D76" s="5"/>
      <c r="E76" s="5"/>
      <c r="F76" s="6"/>
      <c r="G76" s="5"/>
      <c r="H76" s="5"/>
      <c r="I76" s="7"/>
      <c r="J76" s="7"/>
      <c r="K76" s="5"/>
      <c r="L76" s="8"/>
    </row>
    <row r="77" spans="1:12" x14ac:dyDescent="0.2">
      <c r="A77" s="9"/>
      <c r="B77" s="5" t="s">
        <v>13</v>
      </c>
      <c r="C77" s="5"/>
      <c r="D77" s="5"/>
      <c r="E77" s="5"/>
      <c r="F77" s="6"/>
      <c r="G77" s="5"/>
      <c r="H77" s="5"/>
      <c r="I77" s="7"/>
      <c r="J77" s="7"/>
      <c r="K77" s="5"/>
      <c r="L77" s="8"/>
    </row>
    <row r="78" spans="1:12" x14ac:dyDescent="0.2">
      <c r="A78" s="9"/>
      <c r="B78" s="5"/>
      <c r="C78" s="5" t="str">
        <f>IF(D4=TRUE, "["&amp;A4&amp;"]"&amp;IF(D5="", "", ", "), "")</f>
        <v xml:space="preserve">[id], </v>
      </c>
      <c r="D78" s="5"/>
      <c r="E78" s="5"/>
      <c r="F78" s="6"/>
      <c r="G78" s="5"/>
      <c r="H78" s="5"/>
      <c r="I78" s="7"/>
      <c r="J78" s="7"/>
      <c r="K78" s="5"/>
      <c r="L78" s="8"/>
    </row>
    <row r="79" spans="1:12" x14ac:dyDescent="0.2">
      <c r="A79" s="9"/>
      <c r="B79" s="5"/>
      <c r="C79" s="5" t="str">
        <f>IF(D5=TRUE, "["&amp;A5&amp;"]"&amp;IF(D6="", "", ", "), "")</f>
        <v xml:space="preserve">[ma_san_pham], </v>
      </c>
      <c r="D79" s="5"/>
      <c r="E79" s="5"/>
      <c r="F79" s="6"/>
      <c r="G79" s="5"/>
      <c r="H79" s="5"/>
      <c r="I79" s="7"/>
      <c r="J79" s="7"/>
      <c r="K79" s="5"/>
      <c r="L79" s="8"/>
    </row>
    <row r="80" spans="1:12" x14ac:dyDescent="0.2">
      <c r="A80" s="9"/>
      <c r="B80" s="5"/>
      <c r="C80" s="5" t="str">
        <f>IF(D6=TRUE, "["&amp;A6&amp;"]"&amp;IF(D7="", "", ", "), "")</f>
        <v xml:space="preserve">[ma_loai_san_pham], </v>
      </c>
      <c r="D80" s="5"/>
      <c r="E80" s="5"/>
      <c r="F80" s="6"/>
      <c r="G80" s="5"/>
      <c r="H80" s="5"/>
      <c r="I80" s="7"/>
      <c r="J80" s="7"/>
      <c r="K80" s="5"/>
      <c r="L80" s="8"/>
    </row>
    <row r="81" spans="1:12" x14ac:dyDescent="0.2">
      <c r="A81" s="9"/>
      <c r="B81" s="5"/>
      <c r="C81" s="5" t="str">
        <f>IF(D7=TRUE, "["&amp;A7&amp;"]"&amp;IF(D8="", "", ", "), "")</f>
        <v>[ma_gian_hang]</v>
      </c>
      <c r="D81" s="5"/>
      <c r="E81" s="5"/>
      <c r="F81" s="6"/>
      <c r="G81" s="5"/>
      <c r="H81" s="5"/>
      <c r="I81" s="7"/>
      <c r="J81" s="7"/>
      <c r="K81" s="5"/>
      <c r="L81" s="8"/>
    </row>
    <row r="82" spans="1:12" x14ac:dyDescent="0.2">
      <c r="A82" s="9"/>
      <c r="B82" s="5" t="s">
        <v>14</v>
      </c>
      <c r="C82" s="5"/>
      <c r="D82" s="5"/>
      <c r="E82" s="5"/>
      <c r="F82" s="6"/>
      <c r="G82" s="5"/>
      <c r="H82" s="5"/>
      <c r="I82" s="7"/>
      <c r="J82" s="7"/>
      <c r="K82" s="5"/>
      <c r="L82" s="8"/>
    </row>
    <row r="83" spans="1:12" ht="13.5" thickBot="1" x14ac:dyDescent="0.25">
      <c r="A83" s="11" t="s">
        <v>11</v>
      </c>
      <c r="B83" s="12"/>
      <c r="C83" s="12"/>
      <c r="D83" s="12"/>
      <c r="E83" s="12"/>
      <c r="F83" s="13"/>
      <c r="G83" s="12"/>
      <c r="H83" s="12"/>
      <c r="I83" s="14"/>
      <c r="J83" s="14"/>
      <c r="K83" s="12"/>
      <c r="L83" s="15"/>
    </row>
    <row r="84" spans="1:12" x14ac:dyDescent="0.2">
      <c r="A84" s="2"/>
      <c r="B84" s="2"/>
      <c r="C84" s="2"/>
      <c r="D84" s="2"/>
      <c r="E84" s="2"/>
      <c r="F84" s="3"/>
      <c r="G84" s="2"/>
      <c r="H84" s="2"/>
      <c r="I84" s="4"/>
      <c r="J84" s="4"/>
      <c r="K84" s="2"/>
      <c r="L84" s="2"/>
    </row>
    <row r="86" spans="1:12" x14ac:dyDescent="0.2">
      <c r="C86" t="s">
        <v>44</v>
      </c>
    </row>
    <row r="87" spans="1:12" x14ac:dyDescent="0.2">
      <c r="A87" s="37" t="s">
        <v>45</v>
      </c>
      <c r="B87" s="37" t="str">
        <f>B1</f>
        <v>Merchant_Product</v>
      </c>
      <c r="C87" s="37"/>
    </row>
    <row r="88" spans="1:12" x14ac:dyDescent="0.2">
      <c r="A88" s="37" t="s">
        <v>46</v>
      </c>
      <c r="B88" s="37"/>
      <c r="C88" s="37"/>
    </row>
    <row r="89" spans="1:12" x14ac:dyDescent="0.2">
      <c r="A89" s="37"/>
      <c r="B89" s="37" t="s">
        <v>47</v>
      </c>
      <c r="C89" s="37"/>
    </row>
    <row r="90" spans="1:12" x14ac:dyDescent="0.2">
      <c r="A90" s="37"/>
      <c r="B90" s="37" t="s">
        <v>48</v>
      </c>
      <c r="C90" s="37"/>
    </row>
    <row r="91" spans="1:12" x14ac:dyDescent="0.2">
      <c r="A91" s="37" t="s">
        <v>49</v>
      </c>
      <c r="B91" s="37" t="str">
        <f>IF(OR($B4="nvarchar",$B4="varchar"),"string",IF($B4="datetime","DateTime",$B4))</f>
        <v>int</v>
      </c>
      <c r="C91" s="37" t="str">
        <f>A4&amp;" "&amp;$C$86</f>
        <v>id  { get; set; }</v>
      </c>
    </row>
    <row r="92" spans="1:12" x14ac:dyDescent="0.2">
      <c r="A92" s="37" t="s">
        <v>49</v>
      </c>
      <c r="B92" s="37" t="str">
        <f t="shared" ref="B92:B120" si="1">IF(OR($B5="nvarchar",$B5="varchar"),"string",IF($B5="datetime","DateTime",$B5))</f>
        <v>string</v>
      </c>
      <c r="C92" s="37" t="str">
        <f t="shared" ref="C92:C120" si="2">A5&amp;" "&amp;$C$86</f>
        <v>ma_san_pham  { get; set; }</v>
      </c>
    </row>
    <row r="93" spans="1:12" x14ac:dyDescent="0.2">
      <c r="A93" s="37" t="s">
        <v>49</v>
      </c>
      <c r="B93" s="37" t="str">
        <f t="shared" si="1"/>
        <v>string</v>
      </c>
      <c r="C93" s="37" t="str">
        <f t="shared" si="2"/>
        <v>ma_loai_san_pham  { get; set; }</v>
      </c>
    </row>
    <row r="94" spans="1:12" x14ac:dyDescent="0.2">
      <c r="A94" s="37" t="s">
        <v>49</v>
      </c>
      <c r="B94" s="37" t="str">
        <f t="shared" si="1"/>
        <v>string</v>
      </c>
      <c r="C94" s="37" t="str">
        <f t="shared" si="2"/>
        <v>ma_gian_hang  { get; set; }</v>
      </c>
    </row>
    <row r="95" spans="1:12" x14ac:dyDescent="0.2">
      <c r="A95" s="37" t="s">
        <v>49</v>
      </c>
      <c r="B95" s="37" t="str">
        <f t="shared" si="1"/>
        <v>string</v>
      </c>
      <c r="C95" s="37" t="str">
        <f t="shared" si="2"/>
        <v>ten_san_pham  { get; set; }</v>
      </c>
    </row>
    <row r="96" spans="1:12" x14ac:dyDescent="0.2">
      <c r="A96" s="37" t="s">
        <v>49</v>
      </c>
      <c r="B96" s="37" t="str">
        <f t="shared" si="1"/>
        <v>string</v>
      </c>
      <c r="C96" s="37" t="str">
        <f t="shared" si="2"/>
        <v>part_no  { get; set; }</v>
      </c>
    </row>
    <row r="97" spans="1:3" x14ac:dyDescent="0.2">
      <c r="A97" s="37" t="s">
        <v>49</v>
      </c>
      <c r="B97" s="37" t="str">
        <f t="shared" si="1"/>
        <v>string</v>
      </c>
      <c r="C97" s="37" t="str">
        <f t="shared" si="2"/>
        <v>mo_ta  { get; set; }</v>
      </c>
    </row>
    <row r="98" spans="1:3" x14ac:dyDescent="0.2">
      <c r="A98" s="37" t="s">
        <v>49</v>
      </c>
      <c r="B98" s="37" t="str">
        <f t="shared" si="1"/>
        <v>string</v>
      </c>
      <c r="C98" s="37" t="str">
        <f t="shared" si="2"/>
        <v>noi_dung  { get; set; }</v>
      </c>
    </row>
    <row r="99" spans="1:3" x14ac:dyDescent="0.2">
      <c r="A99" s="37" t="s">
        <v>49</v>
      </c>
      <c r="B99" s="37" t="str">
        <f t="shared" si="1"/>
        <v>int</v>
      </c>
      <c r="C99" s="37" t="str">
        <f t="shared" si="2"/>
        <v>trong_so  { get; set; }</v>
      </c>
    </row>
    <row r="100" spans="1:3" x14ac:dyDescent="0.2">
      <c r="A100" s="37" t="s">
        <v>49</v>
      </c>
      <c r="B100" s="37" t="str">
        <f t="shared" si="1"/>
        <v>float</v>
      </c>
      <c r="C100" s="37" t="str">
        <f t="shared" si="2"/>
        <v>don_gia  { get; set; }</v>
      </c>
    </row>
    <row r="101" spans="1:3" x14ac:dyDescent="0.2">
      <c r="A101" s="37" t="s">
        <v>49</v>
      </c>
      <c r="B101" s="37" t="str">
        <f t="shared" si="1"/>
        <v>float</v>
      </c>
      <c r="C101" s="37" t="str">
        <f t="shared" si="2"/>
        <v>gia_si  { get; set; }</v>
      </c>
    </row>
    <row r="102" spans="1:3" x14ac:dyDescent="0.2">
      <c r="A102" s="37" t="s">
        <v>49</v>
      </c>
      <c r="B102" s="37" t="str">
        <f t="shared" si="1"/>
        <v>string</v>
      </c>
      <c r="C102" s="37" t="str">
        <f t="shared" si="2"/>
        <v>tu_khoa  { get; set; }</v>
      </c>
    </row>
    <row r="103" spans="1:3" x14ac:dyDescent="0.2">
      <c r="A103" s="37" t="s">
        <v>49</v>
      </c>
      <c r="B103" s="37" t="str">
        <f t="shared" si="1"/>
        <v>string</v>
      </c>
      <c r="C103" s="37" t="str">
        <f t="shared" si="2"/>
        <v>tag  { get; set; }</v>
      </c>
    </row>
    <row r="104" spans="1:3" x14ac:dyDescent="0.2">
      <c r="A104" s="37" t="s">
        <v>49</v>
      </c>
      <c r="B104" s="37" t="str">
        <f t="shared" si="1"/>
        <v>string</v>
      </c>
      <c r="C104" s="37" t="str">
        <f t="shared" si="2"/>
        <v>slug  { get; set; }</v>
      </c>
    </row>
    <row r="105" spans="1:3" x14ac:dyDescent="0.2">
      <c r="A105" s="37" t="s">
        <v>49</v>
      </c>
      <c r="B105" s="37" t="str">
        <f t="shared" si="1"/>
        <v>string</v>
      </c>
      <c r="C105" s="37" t="str">
        <f t="shared" si="2"/>
        <v>url  { get; set; }</v>
      </c>
    </row>
    <row r="106" spans="1:3" x14ac:dyDescent="0.2">
      <c r="A106" s="37" t="s">
        <v>49</v>
      </c>
      <c r="B106" s="37" t="str">
        <f t="shared" si="1"/>
        <v>string</v>
      </c>
      <c r="C106" s="37" t="str">
        <f t="shared" si="2"/>
        <v>xuat_xu  { get; set; }</v>
      </c>
    </row>
    <row r="107" spans="1:3" x14ac:dyDescent="0.2">
      <c r="A107" s="37" t="s">
        <v>49</v>
      </c>
      <c r="B107" s="37" t="str">
        <f t="shared" si="1"/>
        <v>string</v>
      </c>
      <c r="C107" s="37" t="str">
        <f t="shared" si="2"/>
        <v>thuong_hieu  { get; set; }</v>
      </c>
    </row>
    <row r="108" spans="1:3" x14ac:dyDescent="0.2">
      <c r="A108" s="37" t="s">
        <v>49</v>
      </c>
      <c r="B108" s="37" t="str">
        <f t="shared" si="1"/>
        <v>string</v>
      </c>
      <c r="C108" s="37" t="str">
        <f t="shared" si="2"/>
        <v>model  { get; set; }</v>
      </c>
    </row>
    <row r="109" spans="1:3" x14ac:dyDescent="0.2">
      <c r="A109" s="37" t="s">
        <v>49</v>
      </c>
      <c r="B109" s="37" t="str">
        <f t="shared" si="1"/>
        <v>int</v>
      </c>
      <c r="C109" s="37" t="str">
        <f t="shared" si="2"/>
        <v>minimum_order  { get; set; }</v>
      </c>
    </row>
    <row r="110" spans="1:3" x14ac:dyDescent="0.2">
      <c r="A110" s="37" t="s">
        <v>49</v>
      </c>
      <c r="B110" s="37" t="str">
        <f t="shared" si="1"/>
        <v>string</v>
      </c>
      <c r="C110" s="37" t="str">
        <f t="shared" si="2"/>
        <v>nguoi_xuat_ban  { get; set; }</v>
      </c>
    </row>
    <row r="111" spans="1:3" x14ac:dyDescent="0.2">
      <c r="A111" s="37" t="s">
        <v>49</v>
      </c>
      <c r="B111" s="37" t="str">
        <f t="shared" si="1"/>
        <v>DateTime</v>
      </c>
      <c r="C111" s="37" t="str">
        <f t="shared" si="2"/>
        <v>ngay_xuat_ban  { get; set; }</v>
      </c>
    </row>
    <row r="112" spans="1:3" x14ac:dyDescent="0.2">
      <c r="A112" s="37" t="s">
        <v>49</v>
      </c>
      <c r="B112" s="37" t="str">
        <f t="shared" si="1"/>
        <v>string</v>
      </c>
      <c r="C112" s="37" t="str">
        <f t="shared" si="2"/>
        <v>trang_thai_xuat_ban  { get; set; }</v>
      </c>
    </row>
    <row r="113" spans="1:3" x14ac:dyDescent="0.2">
      <c r="A113" s="37" t="s">
        <v>49</v>
      </c>
      <c r="B113" s="37" t="str">
        <f t="shared" si="1"/>
        <v>string</v>
      </c>
      <c r="C113" s="37" t="str">
        <f t="shared" si="2"/>
        <v>nguoi_duyet  { get; set; }</v>
      </c>
    </row>
    <row r="114" spans="1:3" x14ac:dyDescent="0.2">
      <c r="A114" s="37" t="s">
        <v>49</v>
      </c>
      <c r="B114" s="37" t="str">
        <f t="shared" si="1"/>
        <v>DateTime</v>
      </c>
      <c r="C114" s="37" t="str">
        <f t="shared" si="2"/>
        <v>ngay_duyet  { get; set; }</v>
      </c>
    </row>
    <row r="115" spans="1:3" x14ac:dyDescent="0.2">
      <c r="A115" s="37" t="s">
        <v>49</v>
      </c>
      <c r="B115" s="37" t="str">
        <f t="shared" si="1"/>
        <v>string</v>
      </c>
      <c r="C115" s="37" t="str">
        <f t="shared" si="2"/>
        <v>trang_thai_duyet  { get; set; }</v>
      </c>
    </row>
    <row r="116" spans="1:3" x14ac:dyDescent="0.2">
      <c r="A116" s="37" t="s">
        <v>49</v>
      </c>
      <c r="B116" s="37" t="str">
        <f t="shared" si="1"/>
        <v>string</v>
      </c>
      <c r="C116" s="37" t="str">
        <f t="shared" si="2"/>
        <v>trang_thai  { get; set; }</v>
      </c>
    </row>
    <row r="117" spans="1:3" x14ac:dyDescent="0.2">
      <c r="A117" s="37" t="s">
        <v>49</v>
      </c>
      <c r="B117" s="37" t="str">
        <f t="shared" si="1"/>
        <v>DateTime</v>
      </c>
      <c r="C117" s="37" t="str">
        <f t="shared" si="2"/>
        <v>ngay_tao  { get; set; }</v>
      </c>
    </row>
    <row r="118" spans="1:3" x14ac:dyDescent="0.2">
      <c r="A118" s="37" t="s">
        <v>49</v>
      </c>
      <c r="B118" s="37" t="str">
        <f t="shared" si="1"/>
        <v>string</v>
      </c>
      <c r="C118" s="37" t="str">
        <f t="shared" si="2"/>
        <v>nguoi_tao  { get; set; }</v>
      </c>
    </row>
    <row r="119" spans="1:3" x14ac:dyDescent="0.2">
      <c r="A119" s="37" t="s">
        <v>49</v>
      </c>
      <c r="B119" s="37" t="str">
        <f t="shared" si="1"/>
        <v>DateTime</v>
      </c>
      <c r="C119" s="37" t="str">
        <f t="shared" si="2"/>
        <v>ngay_cap_nhat  { get; set; }</v>
      </c>
    </row>
    <row r="120" spans="1:3" x14ac:dyDescent="0.2">
      <c r="A120" s="37" t="s">
        <v>49</v>
      </c>
      <c r="B120" s="37" t="str">
        <f t="shared" si="1"/>
        <v>string</v>
      </c>
      <c r="C120" s="37" t="str">
        <f t="shared" si="2"/>
        <v>nguoi_cap_nhat  { get; set; }</v>
      </c>
    </row>
    <row r="121" spans="1:3" x14ac:dyDescent="0.2">
      <c r="A121" s="37" t="s">
        <v>50</v>
      </c>
      <c r="B121" s="37"/>
      <c r="C121" s="37"/>
    </row>
    <row r="125" spans="1:3" s="41" customFormat="1" x14ac:dyDescent="0.2">
      <c r="A125" s="40" t="str">
        <f>"DROP TABLE IF EXISTS "&amp;$B$1&amp;"s;"</f>
        <v>DROP TABLE IF EXISTS Merchant_Products;</v>
      </c>
    </row>
    <row r="126" spans="1:3" s="41" customFormat="1" x14ac:dyDescent="0.2">
      <c r="A126" s="42" t="str">
        <f>"CREATE TABLE "&amp;$B$1&amp;"("</f>
        <v>CREATE TABLE Merchant_Product(</v>
      </c>
    </row>
    <row r="127" spans="1:3" s="41" customFormat="1" x14ac:dyDescent="0.2">
      <c r="B127" s="41" t="str">
        <f t="shared" ref="B127:B132" si="3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28" spans="1:3" s="41" customFormat="1" x14ac:dyDescent="0.2">
      <c r="B128" s="41" t="str">
        <f t="shared" si="3"/>
        <v xml:space="preserve">ma_san_pham varchar(20) NOT NULL, </v>
      </c>
    </row>
    <row r="129" spans="2:2" s="41" customFormat="1" x14ac:dyDescent="0.2">
      <c r="B129" s="41" t="str">
        <f t="shared" si="3"/>
        <v xml:space="preserve">ma_loai_san_pham varchar(20) NOT NULL, </v>
      </c>
    </row>
    <row r="130" spans="2:2" s="41" customFormat="1" x14ac:dyDescent="0.2">
      <c r="B130" s="41" t="str">
        <f t="shared" si="3"/>
        <v xml:space="preserve">ma_gian_hang varchar(20) NOT NULL, </v>
      </c>
    </row>
    <row r="131" spans="2:2" s="41" customFormat="1" x14ac:dyDescent="0.2">
      <c r="B131" s="41" t="str">
        <f t="shared" si="3"/>
        <v xml:space="preserve">ten_san_pham nvarchar(512) NOT NULL, </v>
      </c>
    </row>
    <row r="132" spans="2:2" s="41" customFormat="1" x14ac:dyDescent="0.2">
      <c r="B132" s="41" t="str">
        <f t="shared" si="3"/>
        <v xml:space="preserve">part_no varchar(128) NOT NULL, </v>
      </c>
    </row>
    <row r="133" spans="2:2" s="41" customFormat="1" x14ac:dyDescent="0.2">
      <c r="B133" s="41" t="str">
        <f>A10&amp;" "&amp;B10&amp;IF(AND(B10&lt;&gt;"int",B10&lt;&gt;"bigint",B10&lt;&gt;"bit",B10&lt;&gt;"float",B10&lt;&gt;"datetime",B10&lt;&gt;"smalldatetime",B10&lt;&gt;"timestamp",B10&lt;&gt;"xml"),"("&amp;C10&amp;") "," ")&amp;""&amp;IF(F10=FALSE,"NOT NULL","NULL")&amp;IF(G10&lt;&gt;""," DEFAULT ("&amp;G10&amp;")","")&amp;IF(H10=TRUE," AUTO_INCREMENT","")&amp;IF(A12&lt;&gt;"",", ","")</f>
        <v xml:space="preserve">mo_ta nvarchar(512) NOT NULL, </v>
      </c>
    </row>
    <row r="134" spans="2:2" s="41" customFormat="1" x14ac:dyDescent="0.2">
      <c r="B134" s="41" t="str">
        <f t="shared" ref="B134:B155" si="4">A12&amp;" "&amp;B12&amp;IF(AND(B12&lt;&gt;"int",B12&lt;&gt;"bigint",B12&lt;&gt;"bit",B12&lt;&gt;"float",B12&lt;&gt;"datetime",B12&lt;&gt;"smalldatetime",B12&lt;&gt;"timestamp",B12&lt;&gt;"xml"),"("&amp;C12&amp;") "," ")&amp;""&amp;IF(F12=FALSE,"NOT NULL","NULL")&amp;IF(G12&lt;&gt;""," DEFAULT ("&amp;G12&amp;")","")&amp;IF(H12=TRUE," AUTO_INCREMENT","")&amp;IF(A13&lt;&gt;"",", ","")</f>
        <v xml:space="preserve">trong_so int NOT NULL, </v>
      </c>
    </row>
    <row r="135" spans="2:2" s="41" customFormat="1" x14ac:dyDescent="0.2">
      <c r="B135" s="41" t="str">
        <f t="shared" si="4"/>
        <v xml:space="preserve">don_gia float NOT NULL, </v>
      </c>
    </row>
    <row r="136" spans="2:2" s="41" customFormat="1" x14ac:dyDescent="0.2">
      <c r="B136" s="41" t="str">
        <f t="shared" si="4"/>
        <v xml:space="preserve">gia_si float NOT NULL, </v>
      </c>
    </row>
    <row r="137" spans="2:2" s="41" customFormat="1" x14ac:dyDescent="0.2">
      <c r="B137" s="41" t="str">
        <f t="shared" si="4"/>
        <v xml:space="preserve">tu_khoa nvarchar(512) NOT NULL, </v>
      </c>
    </row>
    <row r="138" spans="2:2" s="41" customFormat="1" x14ac:dyDescent="0.2">
      <c r="B138" s="41" t="str">
        <f t="shared" si="4"/>
        <v xml:space="preserve">tag varchar(512) NOT NULL, </v>
      </c>
    </row>
    <row r="139" spans="2:2" s="41" customFormat="1" x14ac:dyDescent="0.2">
      <c r="B139" s="41" t="str">
        <f t="shared" si="4"/>
        <v xml:space="preserve">slug varchar(128) NOT NULL, </v>
      </c>
    </row>
    <row r="140" spans="2:2" s="41" customFormat="1" x14ac:dyDescent="0.2">
      <c r="B140" s="41" t="str">
        <f t="shared" si="4"/>
        <v xml:space="preserve">url nvarchar(512) NULL, </v>
      </c>
    </row>
    <row r="141" spans="2:2" s="41" customFormat="1" x14ac:dyDescent="0.2">
      <c r="B141" s="41" t="str">
        <f t="shared" si="4"/>
        <v xml:space="preserve">xuat_xu nvarchar(128) NOT NULL, </v>
      </c>
    </row>
    <row r="142" spans="2:2" s="41" customFormat="1" x14ac:dyDescent="0.2">
      <c r="B142" s="41" t="str">
        <f t="shared" si="4"/>
        <v xml:space="preserve">thuong_hieu nvarchar(128) NULL, </v>
      </c>
    </row>
    <row r="143" spans="2:2" s="41" customFormat="1" x14ac:dyDescent="0.2">
      <c r="B143" s="41" t="str">
        <f t="shared" si="4"/>
        <v xml:space="preserve">model nvarchar(128) NOT NULL, </v>
      </c>
    </row>
    <row r="144" spans="2:2" s="41" customFormat="1" x14ac:dyDescent="0.2">
      <c r="B144" s="41" t="str">
        <f t="shared" si="4"/>
        <v xml:space="preserve">minimum_order int NOT NULL, </v>
      </c>
    </row>
    <row r="145" spans="1:2" s="41" customFormat="1" x14ac:dyDescent="0.2">
      <c r="B145" s="41" t="str">
        <f t="shared" si="4"/>
        <v xml:space="preserve">nguoi_xuat_ban varchar(32) NOT NULL, </v>
      </c>
    </row>
    <row r="146" spans="1:2" s="41" customFormat="1" x14ac:dyDescent="0.2">
      <c r="B146" s="41" t="str">
        <f t="shared" si="4"/>
        <v xml:space="preserve">ngay_xuat_ban datetime NOT NULL, </v>
      </c>
    </row>
    <row r="147" spans="1:2" s="41" customFormat="1" x14ac:dyDescent="0.2">
      <c r="B147" s="41" t="str">
        <f t="shared" si="4"/>
        <v xml:space="preserve">trang_thai_xuat_ban varchar(20) NOT NULL, </v>
      </c>
    </row>
    <row r="148" spans="1:2" s="41" customFormat="1" x14ac:dyDescent="0.2">
      <c r="B148" s="41" t="str">
        <f t="shared" si="4"/>
        <v xml:space="preserve">nguoi_duyet varchar(32) NOT NULL, </v>
      </c>
    </row>
    <row r="149" spans="1:2" s="41" customFormat="1" x14ac:dyDescent="0.2">
      <c r="B149" s="41" t="str">
        <f t="shared" si="4"/>
        <v xml:space="preserve">ngay_duyet datetime NOT NULL, </v>
      </c>
    </row>
    <row r="150" spans="1:2" s="41" customFormat="1" x14ac:dyDescent="0.2">
      <c r="B150" s="41" t="str">
        <f t="shared" si="4"/>
        <v xml:space="preserve">trang_thai_duyet varchar(20) NOT NULL, </v>
      </c>
    </row>
    <row r="151" spans="1:2" s="41" customFormat="1" x14ac:dyDescent="0.2">
      <c r="B151" s="41" t="str">
        <f t="shared" si="4"/>
        <v xml:space="preserve">trang_thai varchar(32) NULL, </v>
      </c>
    </row>
    <row r="152" spans="1:2" s="41" customFormat="1" x14ac:dyDescent="0.2">
      <c r="B152" s="41" t="str">
        <f t="shared" si="4"/>
        <v xml:space="preserve">ngay_tao datetime NULL, </v>
      </c>
    </row>
    <row r="153" spans="1:2" s="41" customFormat="1" x14ac:dyDescent="0.2">
      <c r="B153" s="41" t="str">
        <f t="shared" si="4"/>
        <v xml:space="preserve">nguoi_tao nvarchar(32) NULL, </v>
      </c>
    </row>
    <row r="154" spans="1:2" s="41" customFormat="1" x14ac:dyDescent="0.2">
      <c r="B154" s="41" t="str">
        <f t="shared" si="4"/>
        <v xml:space="preserve">ngay_cap_nhat datetime NULL, </v>
      </c>
    </row>
    <row r="155" spans="1:2" s="41" customFormat="1" x14ac:dyDescent="0.2">
      <c r="B155" s="41" t="str">
        <f t="shared" si="4"/>
        <v>nguoi_cap_nhat nvarchar(32) NULL</v>
      </c>
    </row>
    <row r="156" spans="1:2" s="41" customFormat="1" x14ac:dyDescent="0.2">
      <c r="A156" s="41" t="s">
        <v>74</v>
      </c>
    </row>
    <row r="157" spans="1:2" s="41" customFormat="1" x14ac:dyDescent="0.2">
      <c r="B157" s="5" t="str">
        <f>IF(D4=TRUE, A4&amp;IF(D5="", "", ", "), "")</f>
        <v xml:space="preserve">id, </v>
      </c>
    </row>
    <row r="158" spans="1:2" s="41" customFormat="1" x14ac:dyDescent="0.2">
      <c r="B158" s="5" t="str">
        <f>IF(D5=TRUE, A5&amp;IF(D6="", "", ", "), "")</f>
        <v xml:space="preserve">ma_san_pham, </v>
      </c>
    </row>
    <row r="159" spans="1:2" s="41" customFormat="1" x14ac:dyDescent="0.2">
      <c r="B159" s="5" t="str">
        <f>IF(D6=TRUE, A6&amp;IF(D7="", "", ", "), "")</f>
        <v xml:space="preserve">ma_loai_san_pham, </v>
      </c>
    </row>
    <row r="160" spans="1:2" s="41" customFormat="1" x14ac:dyDescent="0.2">
      <c r="B160" s="5" t="str">
        <f>IF(D7=TRUE, A7&amp;IF(D8="", "", ", "), "")</f>
        <v>ma_gian_hang</v>
      </c>
    </row>
    <row r="161" spans="1:2" s="41" customFormat="1" x14ac:dyDescent="0.2">
      <c r="B161" s="41" t="s">
        <v>75</v>
      </c>
    </row>
    <row r="162" spans="1:2" s="41" customFormat="1" x14ac:dyDescent="0.2">
      <c r="A162" s="41" t="s">
        <v>73</v>
      </c>
    </row>
  </sheetData>
  <mergeCells count="1">
    <mergeCell ref="A35:B35"/>
  </mergeCells>
  <hyperlinks>
    <hyperlink ref="D1" location="'Sheet List'!A1" display="back to list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workbookViewId="0">
      <selection activeCell="C10" sqref="C10"/>
    </sheetView>
  </sheetViews>
  <sheetFormatPr defaultRowHeight="12.75" x14ac:dyDescent="0.2"/>
  <cols>
    <col min="1" max="1" width="23.85546875" customWidth="1"/>
    <col min="2" max="2" width="21.140625" customWidth="1"/>
    <col min="3" max="3" width="35.28515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0" x14ac:dyDescent="0.2">
      <c r="A1" s="1" t="s">
        <v>8</v>
      </c>
      <c r="B1" s="1" t="s">
        <v>91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39" t="s">
        <v>59</v>
      </c>
      <c r="B5" s="23" t="s">
        <v>7</v>
      </c>
      <c r="C5" s="27">
        <v>15</v>
      </c>
      <c r="D5" s="23"/>
      <c r="E5" s="23"/>
      <c r="F5" s="23" t="b">
        <v>0</v>
      </c>
      <c r="G5" s="23"/>
      <c r="H5" s="23"/>
      <c r="I5" s="24"/>
      <c r="J5" s="25"/>
    </row>
    <row r="6" spans="1:10" x14ac:dyDescent="0.2">
      <c r="A6" s="39" t="s">
        <v>58</v>
      </c>
      <c r="B6" s="23" t="s">
        <v>20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60</v>
      </c>
      <c r="B7" s="23" t="s">
        <v>56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61</v>
      </c>
      <c r="B8" s="23" t="s">
        <v>19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0" x14ac:dyDescent="0.2">
      <c r="A9" s="22" t="s">
        <v>62</v>
      </c>
      <c r="B9" s="23" t="s">
        <v>56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22" t="s">
        <v>63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0" x14ac:dyDescent="0.2">
      <c r="A11" s="22" t="s">
        <v>64</v>
      </c>
      <c r="B11" s="23" t="s">
        <v>19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">
      <c r="A12" s="22" t="s">
        <v>65</v>
      </c>
      <c r="B12" s="23" t="s">
        <v>56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0" x14ac:dyDescent="0.2">
      <c r="A13" s="22" t="s">
        <v>21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22" t="s">
        <v>22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">
      <c r="A15" s="22" t="s">
        <v>23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">
      <c r="A16" s="22" t="s">
        <v>24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ht="13.5" thickBot="1" x14ac:dyDescent="0.25"/>
    <row r="18" spans="1:12" ht="13.5" thickBot="1" x14ac:dyDescent="0.25">
      <c r="A18" s="60" t="s">
        <v>10</v>
      </c>
      <c r="B18" s="61"/>
      <c r="C18" s="16"/>
      <c r="D18" s="17"/>
      <c r="E18" s="17"/>
      <c r="F18" s="18"/>
      <c r="G18" s="18"/>
      <c r="H18" s="18"/>
      <c r="I18" s="18"/>
      <c r="J18" s="18"/>
      <c r="K18" s="18"/>
      <c r="L18" s="18"/>
    </row>
    <row r="19" spans="1:12" x14ac:dyDescent="0.2">
      <c r="A19" s="5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5" t="str">
        <f>"if exists (select * from dbo.sysobjects where id = object_id(N'[dbo].["&amp;$B$1&amp;"]') and OBJECTPROPERTY(id, N'IsUserTable') = 1)"</f>
        <v>if exists (select * from dbo.sysobjects where id = object_id(N'[dbo].[Merchant_Product_Price]') and OBJECTPROPERTY(id, N'IsUserTable') = 1)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9" t="str">
        <f>"drop table [dbo].["&amp;$B$1&amp;"]"</f>
        <v>drop table [dbo].[Merchant_Product_Price]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9" t="s">
        <v>11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10" t="str">
        <f>"CREATE TABLE [dbo].["&amp;$B$1&amp;"] ("</f>
        <v>CREATE TABLE [dbo].[Merchant_Product_Price] (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/>
      <c r="B25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 t="shared" ref="B26:B3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[pk_gia] [varchar] (15)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si="0"/>
        <v xml:space="preserve">[fk_san_pham_gian_hang] [nvarchar] (20)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[don_gia] [float]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[ton_kho] [int]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[don_gia_khuyen_mai] [float]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[trang_thai_khuyen_mai] [nvarchar] (32)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[trang_thai_khuyen_mai_tang_qua] [int]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[phan_tram_khuyen_mai] [float]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[ngay_tao]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[nguoi_tao]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[ngay_cap_nhat] [datetime]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>[nguoi_cap_nhat] [nvarchar] (32) NULL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 t="s">
        <v>12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 t="str">
        <f>"ALTER TABLE [dbo].["&amp;$B$1&amp;"] ADD"</f>
        <v>ALTER TABLE [dbo].[Merchant_Product_Price] ADD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 t="str">
        <f>"CONSTRAINT [PK_"&amp;$B$1&amp;"] PRIMARY KEY  CLUSTERED"</f>
        <v>CONSTRAINT [PK_Merchant_Product_Price] PRIMARY KEY  CLUSTERED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/>
      <c r="B43" s="5" t="s">
        <v>13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/>
      <c r="B44" s="5"/>
      <c r="C44" s="5" t="str">
        <f>IF(D4=TRUE, "["&amp;A4&amp;"]"&amp;IF(D5="", "", ", "), "")</f>
        <v>[id]</v>
      </c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/>
      <c r="C45" s="5" t="str">
        <f>IF(D5=TRUE, "["&amp;A5&amp;"]"&amp;IF(D6="", "", ", "), "")</f>
        <v/>
      </c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/>
      <c r="B46" s="5"/>
      <c r="C46" s="5" t="str">
        <f>IF(D6=TRUE, "["&amp;A6&amp;"]"&amp;IF(D7="", "", ", "), "")</f>
        <v/>
      </c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 t="s">
        <v>14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ht="13.5" thickBot="1" x14ac:dyDescent="0.25">
      <c r="A48" s="11" t="s">
        <v>11</v>
      </c>
      <c r="B48" s="12"/>
      <c r="C48" s="12"/>
      <c r="D48" s="12"/>
      <c r="E48" s="12"/>
      <c r="F48" s="13"/>
      <c r="G48" s="12"/>
      <c r="H48" s="12"/>
      <c r="I48" s="14"/>
      <c r="J48" s="14"/>
      <c r="K48" s="12"/>
      <c r="L48" s="15"/>
    </row>
    <row r="49" spans="1:12" x14ac:dyDescent="0.2">
      <c r="A49" s="2"/>
      <c r="B49" s="2"/>
      <c r="C49" s="2"/>
      <c r="D49" s="2"/>
      <c r="E49" s="2"/>
      <c r="F49" s="3"/>
      <c r="G49" s="2"/>
      <c r="H49" s="2"/>
      <c r="I49" s="4"/>
      <c r="J49" s="4"/>
      <c r="K49" s="2"/>
      <c r="L49" s="2"/>
    </row>
    <row r="50" spans="1:12" x14ac:dyDescent="0.2">
      <c r="C50" t="s">
        <v>44</v>
      </c>
    </row>
    <row r="53" spans="1:12" x14ac:dyDescent="0.2">
      <c r="A53" s="37" t="s">
        <v>45</v>
      </c>
      <c r="B53" s="37" t="str">
        <f>B1</f>
        <v>Merchant_Product_Price</v>
      </c>
      <c r="C53" s="37"/>
    </row>
    <row r="54" spans="1:12" x14ac:dyDescent="0.2">
      <c r="A54" s="37" t="s">
        <v>46</v>
      </c>
      <c r="B54" s="37"/>
      <c r="C54" s="37"/>
    </row>
    <row r="55" spans="1:12" x14ac:dyDescent="0.2">
      <c r="A55" s="37"/>
      <c r="B55" s="37" t="s">
        <v>47</v>
      </c>
      <c r="C55" s="37"/>
    </row>
    <row r="56" spans="1:12" x14ac:dyDescent="0.2">
      <c r="A56" s="37"/>
      <c r="B56" s="37" t="s">
        <v>48</v>
      </c>
      <c r="C56" s="37"/>
    </row>
    <row r="57" spans="1:12" x14ac:dyDescent="0.2">
      <c r="A57" s="37" t="s">
        <v>49</v>
      </c>
      <c r="B57" s="37" t="str">
        <f>IF(OR($B4="nvarchar",$B4="varchar"),"string",IF($B4="datetime","DateTime",$B4))</f>
        <v>int</v>
      </c>
      <c r="C57" s="37" t="str">
        <f>$A4&amp;" "&amp;$C$50</f>
        <v>id  { get; set; }</v>
      </c>
    </row>
    <row r="58" spans="1:12" x14ac:dyDescent="0.2">
      <c r="A58" s="37" t="s">
        <v>49</v>
      </c>
      <c r="B58" s="37" t="str">
        <f t="shared" ref="B58:B69" si="1">IF(OR($B5="nvarchar",$B5="varchar"),"string",IF($B5="datetime","DateTime",$B5))</f>
        <v>string</v>
      </c>
      <c r="C58" s="37" t="str">
        <f t="shared" ref="C58:C69" si="2">$A5&amp;" "&amp;$C$50</f>
        <v>pk_gia  { get; set; }</v>
      </c>
    </row>
    <row r="59" spans="1:12" x14ac:dyDescent="0.2">
      <c r="A59" s="37" t="s">
        <v>49</v>
      </c>
      <c r="B59" s="37" t="str">
        <f t="shared" si="1"/>
        <v>string</v>
      </c>
      <c r="C59" s="37" t="str">
        <f t="shared" si="2"/>
        <v>fk_san_pham_gian_hang  { get; set; }</v>
      </c>
    </row>
    <row r="60" spans="1:12" x14ac:dyDescent="0.2">
      <c r="A60" s="37" t="s">
        <v>49</v>
      </c>
      <c r="B60" s="37" t="str">
        <f t="shared" si="1"/>
        <v>float</v>
      </c>
      <c r="C60" s="37" t="str">
        <f t="shared" si="2"/>
        <v>don_gia  { get; set; }</v>
      </c>
    </row>
    <row r="61" spans="1:12" x14ac:dyDescent="0.2">
      <c r="A61" s="37" t="s">
        <v>49</v>
      </c>
      <c r="B61" s="37" t="str">
        <f t="shared" si="1"/>
        <v>int</v>
      </c>
      <c r="C61" s="37" t="str">
        <f t="shared" si="2"/>
        <v>ton_kho  { get; set; }</v>
      </c>
    </row>
    <row r="62" spans="1:12" x14ac:dyDescent="0.2">
      <c r="A62" s="37" t="s">
        <v>49</v>
      </c>
      <c r="B62" s="37" t="str">
        <f t="shared" si="1"/>
        <v>float</v>
      </c>
      <c r="C62" s="37" t="str">
        <f t="shared" si="2"/>
        <v>don_gia_khuyen_mai  { get; set; }</v>
      </c>
    </row>
    <row r="63" spans="1:12" x14ac:dyDescent="0.2">
      <c r="A63" s="37" t="s">
        <v>49</v>
      </c>
      <c r="B63" s="37" t="str">
        <f t="shared" si="1"/>
        <v>string</v>
      </c>
      <c r="C63" s="37" t="str">
        <f t="shared" si="2"/>
        <v>trang_thai_khuyen_mai  { get; set; }</v>
      </c>
    </row>
    <row r="64" spans="1:12" x14ac:dyDescent="0.2">
      <c r="A64" s="37" t="s">
        <v>49</v>
      </c>
      <c r="B64" s="37" t="str">
        <f t="shared" si="1"/>
        <v>int</v>
      </c>
      <c r="C64" s="37" t="str">
        <f t="shared" si="2"/>
        <v>trang_thai_khuyen_mai_tang_qua  { get; set; }</v>
      </c>
    </row>
    <row r="65" spans="1:3" x14ac:dyDescent="0.2">
      <c r="A65" s="37" t="s">
        <v>49</v>
      </c>
      <c r="B65" s="37" t="str">
        <f t="shared" si="1"/>
        <v>float</v>
      </c>
      <c r="C65" s="37" t="str">
        <f t="shared" si="2"/>
        <v>phan_tram_khuyen_mai  { get; set; }</v>
      </c>
    </row>
    <row r="66" spans="1:3" x14ac:dyDescent="0.2">
      <c r="A66" s="37" t="s">
        <v>49</v>
      </c>
      <c r="B66" s="37" t="str">
        <f t="shared" si="1"/>
        <v>DateTime</v>
      </c>
      <c r="C66" s="37" t="str">
        <f t="shared" si="2"/>
        <v>ngay_tao  { get; set; }</v>
      </c>
    </row>
    <row r="67" spans="1:3" x14ac:dyDescent="0.2">
      <c r="A67" s="37" t="s">
        <v>49</v>
      </c>
      <c r="B67" s="37" t="str">
        <f t="shared" si="1"/>
        <v>string</v>
      </c>
      <c r="C67" s="37" t="str">
        <f t="shared" si="2"/>
        <v>nguoi_tao  { get; set; }</v>
      </c>
    </row>
    <row r="68" spans="1:3" x14ac:dyDescent="0.2">
      <c r="A68" s="37" t="s">
        <v>49</v>
      </c>
      <c r="B68" s="37" t="str">
        <f t="shared" si="1"/>
        <v>DateTime</v>
      </c>
      <c r="C68" s="37" t="str">
        <f t="shared" si="2"/>
        <v>ngay_cap_nhat  { get; set; }</v>
      </c>
    </row>
    <row r="69" spans="1:3" x14ac:dyDescent="0.2">
      <c r="A69" s="37" t="s">
        <v>49</v>
      </c>
      <c r="B69" s="37" t="str">
        <f t="shared" si="1"/>
        <v>string</v>
      </c>
      <c r="C69" s="37" t="str">
        <f t="shared" si="2"/>
        <v>nguoi_cap_nhat  { get; set; }</v>
      </c>
    </row>
    <row r="70" spans="1:3" x14ac:dyDescent="0.2">
      <c r="A70" s="37" t="s">
        <v>50</v>
      </c>
      <c r="B70" s="37"/>
      <c r="C70" s="37"/>
    </row>
    <row r="74" spans="1:3" s="41" customFormat="1" x14ac:dyDescent="0.2">
      <c r="A74" s="40" t="str">
        <f>"DROP TABLE IF EXISTS "&amp;$B$1&amp;"s;"</f>
        <v>DROP TABLE IF EXISTS Merchant_Product_Prices;</v>
      </c>
    </row>
    <row r="75" spans="1:3" s="41" customFormat="1" x14ac:dyDescent="0.2">
      <c r="A75" s="42" t="str">
        <f>"CREATE TABLE "&amp;$B$1&amp;"("</f>
        <v>CREATE TABLE Merchant_Product_Price(</v>
      </c>
    </row>
    <row r="76" spans="1:3" s="41" customFormat="1" x14ac:dyDescent="0.2">
      <c r="B76" s="41" t="str">
        <f t="shared" ref="B76:B88" si="3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77" spans="1:3" s="41" customFormat="1" x14ac:dyDescent="0.2">
      <c r="B77" s="41" t="str">
        <f t="shared" si="3"/>
        <v xml:space="preserve">pk_gia varchar(15) NOT NULL, </v>
      </c>
    </row>
    <row r="78" spans="1:3" s="41" customFormat="1" x14ac:dyDescent="0.2">
      <c r="B78" s="41" t="str">
        <f t="shared" si="3"/>
        <v xml:space="preserve">fk_san_pham_gian_hang nvarchar(20) NOT NULL, </v>
      </c>
    </row>
    <row r="79" spans="1:3" s="41" customFormat="1" x14ac:dyDescent="0.2">
      <c r="B79" s="41" t="str">
        <f t="shared" si="3"/>
        <v xml:space="preserve">don_gia float NOT NULL, </v>
      </c>
    </row>
    <row r="80" spans="1:3" s="41" customFormat="1" x14ac:dyDescent="0.2">
      <c r="B80" s="41" t="str">
        <f t="shared" si="3"/>
        <v xml:space="preserve">ton_kho int NULL, </v>
      </c>
    </row>
    <row r="81" spans="1:2" s="41" customFormat="1" x14ac:dyDescent="0.2">
      <c r="B81" s="41" t="str">
        <f t="shared" si="3"/>
        <v xml:space="preserve">don_gia_khuyen_mai float NULL, </v>
      </c>
    </row>
    <row r="82" spans="1:2" s="41" customFormat="1" x14ac:dyDescent="0.2">
      <c r="B82" s="41" t="str">
        <f t="shared" si="3"/>
        <v xml:space="preserve">trang_thai_khuyen_mai nvarchar(32) NULL, </v>
      </c>
    </row>
    <row r="83" spans="1:2" s="41" customFormat="1" x14ac:dyDescent="0.2">
      <c r="B83" s="41" t="str">
        <f t="shared" si="3"/>
        <v xml:space="preserve">trang_thai_khuyen_mai_tang_qua int NULL, </v>
      </c>
    </row>
    <row r="84" spans="1:2" s="41" customFormat="1" x14ac:dyDescent="0.2">
      <c r="B84" s="41" t="str">
        <f t="shared" si="3"/>
        <v xml:space="preserve">phan_tram_khuyen_mai float NULL, </v>
      </c>
    </row>
    <row r="85" spans="1:2" s="41" customFormat="1" x14ac:dyDescent="0.2">
      <c r="B85" s="41" t="str">
        <f t="shared" si="3"/>
        <v xml:space="preserve">ngay_tao datetime NULL, </v>
      </c>
    </row>
    <row r="86" spans="1:2" s="41" customFormat="1" x14ac:dyDescent="0.2">
      <c r="B86" s="41" t="str">
        <f t="shared" si="3"/>
        <v xml:space="preserve">nguoi_tao nvarchar(32) NULL, </v>
      </c>
    </row>
    <row r="87" spans="1:2" s="41" customFormat="1" x14ac:dyDescent="0.2">
      <c r="B87" s="41" t="str">
        <f t="shared" si="3"/>
        <v xml:space="preserve">ngay_cap_nhat datetime NULL, </v>
      </c>
    </row>
    <row r="88" spans="1:2" s="41" customFormat="1" x14ac:dyDescent="0.2">
      <c r="B88" s="41" t="str">
        <f t="shared" si="3"/>
        <v>nguoi_cap_nhat nvarchar(32) NULL</v>
      </c>
    </row>
    <row r="89" spans="1:2" s="41" customFormat="1" x14ac:dyDescent="0.2">
      <c r="A89" s="41" t="s">
        <v>74</v>
      </c>
    </row>
    <row r="90" spans="1:2" s="41" customFormat="1" x14ac:dyDescent="0.2">
      <c r="B90" s="5" t="str">
        <f>IF(D4=TRUE, A4&amp;IF(D5="", "", ", "), "")</f>
        <v>id</v>
      </c>
    </row>
    <row r="91" spans="1:2" s="41" customFormat="1" x14ac:dyDescent="0.2">
      <c r="B91" s="5" t="str">
        <f t="shared" ref="B91:B92" si="4">IF(D2=TRUE, A2&amp;IF(D3="", "", ", "), "")</f>
        <v/>
      </c>
    </row>
    <row r="92" spans="1:2" s="41" customFormat="1" x14ac:dyDescent="0.2">
      <c r="B92" s="5" t="str">
        <f t="shared" si="4"/>
        <v/>
      </c>
    </row>
    <row r="93" spans="1:2" s="41" customFormat="1" x14ac:dyDescent="0.2">
      <c r="B93" s="5"/>
    </row>
    <row r="94" spans="1:2" s="41" customFormat="1" x14ac:dyDescent="0.2">
      <c r="B94" s="5" t="str">
        <f>IF(D5=TRUE,"," &amp; A5&amp;IF(D6="", "", ", "), "")</f>
        <v/>
      </c>
    </row>
    <row r="95" spans="1:2" s="41" customFormat="1" x14ac:dyDescent="0.2">
      <c r="B95" s="41" t="s">
        <v>75</v>
      </c>
    </row>
    <row r="96" spans="1:2" s="41" customFormat="1" x14ac:dyDescent="0.2">
      <c r="A96" s="41" t="s">
        <v>73</v>
      </c>
    </row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4"/>
  <sheetViews>
    <sheetView workbookViewId="0">
      <selection activeCell="D1" sqref="D1"/>
    </sheetView>
  </sheetViews>
  <sheetFormatPr defaultRowHeight="12.75" x14ac:dyDescent="0.2"/>
  <cols>
    <col min="1" max="1" width="23.85546875" customWidth="1"/>
    <col min="2" max="2" width="16.42578125" customWidth="1"/>
    <col min="3" max="3" width="20.8554687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119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52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47" t="s">
        <v>26</v>
      </c>
      <c r="B6" s="47" t="s">
        <v>7</v>
      </c>
      <c r="C6">
        <v>20</v>
      </c>
      <c r="D6" t="b">
        <v>1</v>
      </c>
      <c r="F6" t="b">
        <v>0</v>
      </c>
    </row>
    <row r="7" spans="1:10" x14ac:dyDescent="0.2">
      <c r="A7" s="22" t="s">
        <v>95</v>
      </c>
      <c r="B7" s="23" t="s">
        <v>7</v>
      </c>
      <c r="C7" s="27">
        <v>15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96</v>
      </c>
      <c r="B8" s="23" t="s">
        <v>7</v>
      </c>
      <c r="C8" s="27">
        <v>15</v>
      </c>
      <c r="D8" s="23"/>
      <c r="E8" s="23"/>
      <c r="F8" s="23" t="b">
        <v>1</v>
      </c>
      <c r="G8" s="23"/>
      <c r="H8" s="23"/>
      <c r="I8" s="24"/>
      <c r="J8" s="25"/>
    </row>
    <row r="9" spans="1:10" x14ac:dyDescent="0.2">
      <c r="A9" s="22" t="s">
        <v>97</v>
      </c>
      <c r="B9" s="23" t="s">
        <v>7</v>
      </c>
      <c r="C9" s="27">
        <v>15</v>
      </c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22" t="s">
        <v>98</v>
      </c>
      <c r="B10" s="23" t="s">
        <v>7</v>
      </c>
      <c r="C10" s="27">
        <v>15</v>
      </c>
      <c r="D10" s="23"/>
      <c r="E10" s="23"/>
      <c r="F10" s="23" t="b">
        <v>1</v>
      </c>
      <c r="G10" s="23"/>
      <c r="H10" s="23"/>
      <c r="I10" s="24"/>
      <c r="J10" s="25"/>
    </row>
    <row r="11" spans="1:10" x14ac:dyDescent="0.2">
      <c r="A11" s="22" t="s">
        <v>99</v>
      </c>
      <c r="B11" s="23" t="s">
        <v>7</v>
      </c>
      <c r="C11" s="27">
        <v>15</v>
      </c>
      <c r="D11" s="23"/>
      <c r="E11" s="23"/>
      <c r="F11" s="23" t="b">
        <v>1</v>
      </c>
      <c r="G11" s="23"/>
      <c r="H11" s="23"/>
      <c r="I11" s="24"/>
      <c r="J11" s="25"/>
    </row>
    <row r="12" spans="1:10" x14ac:dyDescent="0.2">
      <c r="A12" s="22" t="s">
        <v>100</v>
      </c>
      <c r="B12" s="23" t="s">
        <v>7</v>
      </c>
      <c r="C12" s="27">
        <v>15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">
      <c r="A13" s="22" t="s">
        <v>101</v>
      </c>
      <c r="B13" s="23" t="s">
        <v>7</v>
      </c>
      <c r="C13" s="27">
        <v>15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22" t="s">
        <v>102</v>
      </c>
      <c r="B14" s="23" t="s">
        <v>7</v>
      </c>
      <c r="C14" s="27">
        <v>15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">
      <c r="A15" s="22" t="s">
        <v>103</v>
      </c>
      <c r="B15" s="23" t="s">
        <v>7</v>
      </c>
      <c r="C15" s="27">
        <v>15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">
      <c r="A16" s="22" t="s">
        <v>104</v>
      </c>
      <c r="B16" s="23" t="s">
        <v>7</v>
      </c>
      <c r="C16" s="27">
        <v>15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">
      <c r="A17" s="22" t="s">
        <v>51</v>
      </c>
      <c r="B17" s="23" t="s">
        <v>7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x14ac:dyDescent="0.2">
      <c r="A18" s="22" t="s">
        <v>21</v>
      </c>
      <c r="B18" s="23" t="s">
        <v>9</v>
      </c>
      <c r="C18" s="27"/>
      <c r="D18" s="23"/>
      <c r="E18" s="23"/>
      <c r="F18" s="23" t="b">
        <v>1</v>
      </c>
      <c r="G18" s="23"/>
      <c r="H18" s="23"/>
      <c r="I18" s="24"/>
      <c r="J18" s="25"/>
    </row>
    <row r="19" spans="1:12" x14ac:dyDescent="0.2">
      <c r="A19" s="22" t="s">
        <v>22</v>
      </c>
      <c r="B19" s="23" t="s">
        <v>20</v>
      </c>
      <c r="C19" s="27">
        <v>32</v>
      </c>
      <c r="D19" s="23"/>
      <c r="E19" s="23"/>
      <c r="F19" s="23" t="b">
        <v>1</v>
      </c>
      <c r="G19" s="23"/>
      <c r="H19" s="23"/>
      <c r="I19" s="24"/>
      <c r="J19" s="25"/>
    </row>
    <row r="20" spans="1:12" x14ac:dyDescent="0.2">
      <c r="A20" s="22" t="s">
        <v>23</v>
      </c>
      <c r="B20" s="23" t="s">
        <v>9</v>
      </c>
      <c r="C20" s="27"/>
      <c r="D20" s="23"/>
      <c r="E20" s="23"/>
      <c r="F20" s="23" t="b">
        <v>1</v>
      </c>
      <c r="G20" s="23"/>
      <c r="H20" s="23"/>
      <c r="I20" s="24"/>
      <c r="J20" s="25"/>
    </row>
    <row r="21" spans="1:12" x14ac:dyDescent="0.2">
      <c r="A21" s="30" t="s">
        <v>24</v>
      </c>
      <c r="B21" s="28" t="s">
        <v>20</v>
      </c>
      <c r="C21" s="29">
        <v>32</v>
      </c>
      <c r="D21" s="28"/>
      <c r="E21" s="28"/>
      <c r="F21" s="28" t="b">
        <v>1</v>
      </c>
      <c r="G21" s="23"/>
      <c r="H21" s="23"/>
      <c r="I21" s="24"/>
      <c r="J21" s="25"/>
    </row>
    <row r="22" spans="1:12" ht="13.5" thickBot="1" x14ac:dyDescent="0.25"/>
    <row r="23" spans="1:12" ht="13.5" thickBot="1" x14ac:dyDescent="0.25">
      <c r="A23" s="60" t="s">
        <v>10</v>
      </c>
      <c r="B23" s="61"/>
      <c r="C23" s="16"/>
      <c r="D23" s="17"/>
      <c r="E23" s="17"/>
      <c r="F23" s="18"/>
      <c r="G23" s="18"/>
      <c r="H23" s="18"/>
      <c r="I23" s="18"/>
      <c r="J23" s="18"/>
      <c r="K23" s="18"/>
      <c r="L23" s="18"/>
    </row>
    <row r="24" spans="1:12" x14ac:dyDescent="0.2">
      <c r="A24" s="5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5" t="str">
        <f>"if exists (select * from dbo.sysobjects where id = object_id(N'[dbo].["&amp;$B$1&amp;"]') and OBJECTPROPERTY(id, N'IsUserTable') = 1)"</f>
        <v>if exists (select * from dbo.sysobjects where id = object_id(N'[dbo].[Merchant_Product_Hierarchy]') and OBJECTPROPERTY(id, N'IsUserTable') = 1)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9" t="str">
        <f>"drop table [dbo].["&amp;$B$1&amp;"]"</f>
        <v>drop table [dbo].[Merchant_Product_Hierarchy]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9" t="s">
        <v>11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9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 t="str">
        <f>"CREATE TABLE [dbo].["&amp;$B$1&amp;"] ("</f>
        <v>CREATE TABLE [dbo].[Merchant_Product_Hierarchy] (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ref="B31:B4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[ma_san_pham] [varchar] (20)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[ma_gian_hang] [varchar] (20)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[ma_cay_phan_cap_1] [varchar] (15)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[ma_cay_phan_cap_2] [varchar] (15)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[ma_cay_phan_cap_3] [varchar] (15)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[ma_cay_phan_cap_4] [varchar] (15)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[ma_cay_phan_cap_5] [varchar] (15)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[ma_cay_phan_cap_6] [varchar] (15)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[ma_cay_phan_cap_7] [varchar] (15)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[ma_cay_phan_cap_8] [varchar] (15)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[ma_cay_phan_cap_9] [varchar] (15)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[ma_cay_phan_cap_10] [varchar] (15)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[trang_thai] [varchar] (32)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[ngay_tao] [datetime]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[nguoi_tao] [nvarchar] (32)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[ngay_cap_nhat] [datetime]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>[nguoi_cap_nhat] [nvarchar] (32) NULL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 t="s">
        <v>12</v>
      </c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 t="s">
        <v>11</v>
      </c>
      <c r="B49" s="5"/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/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 t="str">
        <f>"ALTER TABLE [dbo].["&amp;$B$1&amp;"] ADD"</f>
        <v>ALTER TABLE [dbo].[Merchant_Product_Hierarchy] ADD</v>
      </c>
      <c r="B51" s="5"/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/>
      <c r="B52" s="5" t="str">
        <f>"CONSTRAINT [PK_"&amp;$B$1&amp;"] PRIMARY KEY  CLUSTERED"</f>
        <v>CONSTRAINT [PK_Merchant_Product_Hierarchy] PRIMARY KEY  CLUSTERED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 t="s">
        <v>13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/>
      <c r="C54" s="5" t="str">
        <f>IF(D4=TRUE, "["&amp;A4&amp;"]"&amp;IF(D5="", "", ", "), "")</f>
        <v xml:space="preserve">[id], </v>
      </c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9"/>
      <c r="B55" s="5"/>
      <c r="C55" s="5" t="str">
        <f t="shared" ref="C55:C56" si="1">IF(D5=TRUE, "["&amp;A5&amp;"]"&amp;IF(D6="", "", ", "), "")</f>
        <v xml:space="preserve">[ma_san_pham], </v>
      </c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9"/>
      <c r="B56" s="5"/>
      <c r="C56" s="5" t="str">
        <f t="shared" si="1"/>
        <v>[ma_gian_hang]</v>
      </c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/>
      <c r="B57" s="5"/>
      <c r="C57" s="5" t="str">
        <f>IF(D7=TRUE, "["&amp;A7&amp;"]"&amp;IF(D8="", "", ", "), "")</f>
        <v/>
      </c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/>
      <c r="B58" s="5" t="s">
        <v>14</v>
      </c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ht="13.5" thickBot="1" x14ac:dyDescent="0.25">
      <c r="A59" s="11" t="s">
        <v>11</v>
      </c>
      <c r="B59" s="12"/>
      <c r="C59" s="12"/>
      <c r="D59" s="12"/>
      <c r="E59" s="12"/>
      <c r="F59" s="13"/>
      <c r="G59" s="12"/>
      <c r="H59" s="12"/>
      <c r="I59" s="14"/>
      <c r="J59" s="14"/>
      <c r="K59" s="12"/>
      <c r="L59" s="15"/>
    </row>
    <row r="60" spans="1:12" x14ac:dyDescent="0.2">
      <c r="A60" s="2"/>
      <c r="B60" s="2"/>
      <c r="C60" t="s">
        <v>44</v>
      </c>
      <c r="D60" s="2"/>
      <c r="E60" s="2"/>
      <c r="F60" s="3"/>
      <c r="G60" s="2"/>
      <c r="H60" s="2"/>
      <c r="I60" s="4"/>
      <c r="J60" s="4"/>
      <c r="K60" s="2"/>
      <c r="L60" s="2"/>
    </row>
    <row r="61" spans="1:12" x14ac:dyDescent="0.2">
      <c r="A61" s="37" t="s">
        <v>45</v>
      </c>
      <c r="B61" s="37" t="str">
        <f>B1</f>
        <v>Merchant_Product_Hierarchy</v>
      </c>
      <c r="C61" s="37"/>
    </row>
    <row r="62" spans="1:12" x14ac:dyDescent="0.2">
      <c r="A62" s="37" t="s">
        <v>46</v>
      </c>
      <c r="B62" s="37"/>
      <c r="C62" s="37"/>
    </row>
    <row r="63" spans="1:12" x14ac:dyDescent="0.2">
      <c r="A63" s="37"/>
      <c r="B63" s="37" t="s">
        <v>47</v>
      </c>
      <c r="C63" s="37"/>
    </row>
    <row r="64" spans="1:12" x14ac:dyDescent="0.2">
      <c r="A64" s="37"/>
      <c r="B64" s="37" t="s">
        <v>48</v>
      </c>
      <c r="C64" s="37"/>
    </row>
    <row r="65" spans="1:3" x14ac:dyDescent="0.2">
      <c r="A65" s="37" t="s">
        <v>49</v>
      </c>
      <c r="B65" s="37" t="str">
        <f>IF(OR($B4="nvarchar",$B4="varchar"),"string",IF($B4="datetime","DateTime",$B4))</f>
        <v>int</v>
      </c>
      <c r="C65" s="37" t="str">
        <f>A4&amp;" "&amp;$C$60</f>
        <v>id  { get; set; }</v>
      </c>
    </row>
    <row r="66" spans="1:3" x14ac:dyDescent="0.2">
      <c r="A66" s="37" t="s">
        <v>49</v>
      </c>
      <c r="B66" s="37" t="str">
        <f t="shared" ref="B66:B82" si="2">IF(OR($B5="nvarchar",$B5="varchar"),"string",IF($B5="datetime","DateTime",$B5))</f>
        <v>string</v>
      </c>
      <c r="C66" s="37" t="str">
        <f t="shared" ref="C66:C82" si="3">A5&amp;" "&amp;$C$60</f>
        <v>ma_san_pham  { get; set; }</v>
      </c>
    </row>
    <row r="67" spans="1:3" x14ac:dyDescent="0.2">
      <c r="A67" s="37" t="s">
        <v>49</v>
      </c>
      <c r="B67" s="37" t="str">
        <f t="shared" si="2"/>
        <v>string</v>
      </c>
      <c r="C67" s="37" t="str">
        <f t="shared" si="3"/>
        <v>ma_gian_hang  { get; set; }</v>
      </c>
    </row>
    <row r="68" spans="1:3" x14ac:dyDescent="0.2">
      <c r="A68" s="37" t="s">
        <v>49</v>
      </c>
      <c r="B68" s="37" t="str">
        <f t="shared" si="2"/>
        <v>string</v>
      </c>
      <c r="C68" s="37" t="str">
        <f t="shared" si="3"/>
        <v>ma_cay_phan_cap_1  { get; set; }</v>
      </c>
    </row>
    <row r="69" spans="1:3" x14ac:dyDescent="0.2">
      <c r="A69" s="37" t="s">
        <v>49</v>
      </c>
      <c r="B69" s="37" t="str">
        <f t="shared" si="2"/>
        <v>string</v>
      </c>
      <c r="C69" s="37" t="str">
        <f t="shared" si="3"/>
        <v>ma_cay_phan_cap_2  { get; set; }</v>
      </c>
    </row>
    <row r="70" spans="1:3" x14ac:dyDescent="0.2">
      <c r="A70" s="37" t="s">
        <v>49</v>
      </c>
      <c r="B70" s="37" t="str">
        <f t="shared" si="2"/>
        <v>string</v>
      </c>
      <c r="C70" s="37" t="str">
        <f t="shared" si="3"/>
        <v>ma_cay_phan_cap_3  { get; set; }</v>
      </c>
    </row>
    <row r="71" spans="1:3" x14ac:dyDescent="0.2">
      <c r="A71" s="37" t="s">
        <v>49</v>
      </c>
      <c r="B71" s="37" t="str">
        <f t="shared" si="2"/>
        <v>string</v>
      </c>
      <c r="C71" s="37" t="str">
        <f t="shared" si="3"/>
        <v>ma_cay_phan_cap_4  { get; set; }</v>
      </c>
    </row>
    <row r="72" spans="1:3" x14ac:dyDescent="0.2">
      <c r="A72" s="37" t="s">
        <v>49</v>
      </c>
      <c r="B72" s="37" t="str">
        <f t="shared" si="2"/>
        <v>string</v>
      </c>
      <c r="C72" s="37" t="str">
        <f t="shared" si="3"/>
        <v>ma_cay_phan_cap_5  { get; set; }</v>
      </c>
    </row>
    <row r="73" spans="1:3" x14ac:dyDescent="0.2">
      <c r="A73" s="37" t="s">
        <v>49</v>
      </c>
      <c r="B73" s="37" t="str">
        <f t="shared" si="2"/>
        <v>string</v>
      </c>
      <c r="C73" s="37" t="str">
        <f t="shared" si="3"/>
        <v>ma_cay_phan_cap_6  { get; set; }</v>
      </c>
    </row>
    <row r="74" spans="1:3" x14ac:dyDescent="0.2">
      <c r="A74" s="37" t="s">
        <v>49</v>
      </c>
      <c r="B74" s="37" t="str">
        <f t="shared" si="2"/>
        <v>string</v>
      </c>
      <c r="C74" s="37" t="str">
        <f t="shared" si="3"/>
        <v>ma_cay_phan_cap_7  { get; set; }</v>
      </c>
    </row>
    <row r="75" spans="1:3" x14ac:dyDescent="0.2">
      <c r="A75" s="37" t="s">
        <v>49</v>
      </c>
      <c r="B75" s="37" t="str">
        <f t="shared" si="2"/>
        <v>string</v>
      </c>
      <c r="C75" s="37" t="str">
        <f t="shared" si="3"/>
        <v>ma_cay_phan_cap_8  { get; set; }</v>
      </c>
    </row>
    <row r="76" spans="1:3" x14ac:dyDescent="0.2">
      <c r="A76" s="37" t="s">
        <v>49</v>
      </c>
      <c r="B76" s="37" t="str">
        <f t="shared" si="2"/>
        <v>string</v>
      </c>
      <c r="C76" s="37" t="str">
        <f t="shared" si="3"/>
        <v>ma_cay_phan_cap_9  { get; set; }</v>
      </c>
    </row>
    <row r="77" spans="1:3" x14ac:dyDescent="0.2">
      <c r="A77" s="37" t="s">
        <v>49</v>
      </c>
      <c r="B77" s="37" t="str">
        <f t="shared" si="2"/>
        <v>string</v>
      </c>
      <c r="C77" s="37" t="str">
        <f t="shared" si="3"/>
        <v>ma_cay_phan_cap_10  { get; set; }</v>
      </c>
    </row>
    <row r="78" spans="1:3" x14ac:dyDescent="0.2">
      <c r="A78" s="37" t="s">
        <v>49</v>
      </c>
      <c r="B78" s="37" t="str">
        <f t="shared" si="2"/>
        <v>string</v>
      </c>
      <c r="C78" s="37" t="str">
        <f t="shared" si="3"/>
        <v>trang_thai  { get; set; }</v>
      </c>
    </row>
    <row r="79" spans="1:3" x14ac:dyDescent="0.2">
      <c r="A79" s="37" t="s">
        <v>49</v>
      </c>
      <c r="B79" s="37" t="str">
        <f t="shared" si="2"/>
        <v>DateTime</v>
      </c>
      <c r="C79" s="37" t="str">
        <f t="shared" si="3"/>
        <v>ngay_tao  { get; set; }</v>
      </c>
    </row>
    <row r="80" spans="1:3" x14ac:dyDescent="0.2">
      <c r="A80" s="37" t="s">
        <v>49</v>
      </c>
      <c r="B80" s="37" t="str">
        <f t="shared" si="2"/>
        <v>string</v>
      </c>
      <c r="C80" s="37" t="str">
        <f t="shared" si="3"/>
        <v>nguoi_tao  { get; set; }</v>
      </c>
    </row>
    <row r="81" spans="1:3" x14ac:dyDescent="0.2">
      <c r="A81" s="37" t="s">
        <v>49</v>
      </c>
      <c r="B81" s="37" t="str">
        <f t="shared" si="2"/>
        <v>DateTime</v>
      </c>
      <c r="C81" s="37" t="str">
        <f t="shared" si="3"/>
        <v>ngay_cap_nhat  { get; set; }</v>
      </c>
    </row>
    <row r="82" spans="1:3" x14ac:dyDescent="0.2">
      <c r="A82" s="37" t="s">
        <v>49</v>
      </c>
      <c r="B82" s="37" t="str">
        <f t="shared" si="2"/>
        <v>string</v>
      </c>
      <c r="C82" s="37" t="str">
        <f t="shared" si="3"/>
        <v>nguoi_cap_nhat  { get; set; }</v>
      </c>
    </row>
    <row r="83" spans="1:3" x14ac:dyDescent="0.2">
      <c r="A83" s="37" t="s">
        <v>50</v>
      </c>
      <c r="B83" s="37"/>
      <c r="C83" s="37"/>
    </row>
    <row r="89" spans="1:3" s="41" customFormat="1" x14ac:dyDescent="0.2">
      <c r="A89" s="40" t="str">
        <f>"DROP TABLE IF EXISTS "&amp;$B$1&amp;"s;"</f>
        <v>DROP TABLE IF EXISTS Merchant_Product_Hierarchys;</v>
      </c>
    </row>
    <row r="90" spans="1:3" s="41" customFormat="1" x14ac:dyDescent="0.2">
      <c r="A90" s="42" t="str">
        <f>"CREATE TABLE "&amp;$B$1&amp;"("</f>
        <v>CREATE TABLE Merchant_Product_Hierarchy(</v>
      </c>
    </row>
    <row r="91" spans="1:3" s="41" customFormat="1" x14ac:dyDescent="0.2">
      <c r="B91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92" spans="1:3" s="41" customFormat="1" x14ac:dyDescent="0.2">
      <c r="B92" s="41" t="str">
        <f t="shared" ref="B92:B108" si="4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ma_san_pham varchar(20) NOT NULL, </v>
      </c>
    </row>
    <row r="93" spans="1:3" s="41" customFormat="1" x14ac:dyDescent="0.2">
      <c r="B93" s="41" t="str">
        <f t="shared" si="4"/>
        <v xml:space="preserve">ma_gian_hang varchar(20) NOT NULL, </v>
      </c>
    </row>
    <row r="94" spans="1:3" s="41" customFormat="1" x14ac:dyDescent="0.2">
      <c r="B94" s="41" t="str">
        <f t="shared" si="4"/>
        <v xml:space="preserve">ma_cay_phan_cap_1 varchar(15) NOT NULL, </v>
      </c>
    </row>
    <row r="95" spans="1:3" s="41" customFormat="1" x14ac:dyDescent="0.2">
      <c r="B95" s="41" t="str">
        <f t="shared" si="4"/>
        <v xml:space="preserve">ma_cay_phan_cap_2 varchar(15) NULL, </v>
      </c>
    </row>
    <row r="96" spans="1:3" s="41" customFormat="1" x14ac:dyDescent="0.2">
      <c r="B96" s="41" t="str">
        <f t="shared" si="4"/>
        <v xml:space="preserve">ma_cay_phan_cap_3 varchar(15) NULL, </v>
      </c>
    </row>
    <row r="97" spans="1:2" s="41" customFormat="1" x14ac:dyDescent="0.2">
      <c r="B97" s="41" t="str">
        <f t="shared" si="4"/>
        <v xml:space="preserve">ma_cay_phan_cap_4 varchar(15) NULL, </v>
      </c>
    </row>
    <row r="98" spans="1:2" s="41" customFormat="1" x14ac:dyDescent="0.2">
      <c r="B98" s="41" t="str">
        <f t="shared" si="4"/>
        <v xml:space="preserve">ma_cay_phan_cap_5 varchar(15) NULL, </v>
      </c>
    </row>
    <row r="99" spans="1:2" s="41" customFormat="1" x14ac:dyDescent="0.2">
      <c r="B99" s="41" t="str">
        <f t="shared" si="4"/>
        <v xml:space="preserve">ma_cay_phan_cap_6 varchar(15) NULL, </v>
      </c>
    </row>
    <row r="100" spans="1:2" s="41" customFormat="1" x14ac:dyDescent="0.2">
      <c r="B100" s="41" t="str">
        <f t="shared" si="4"/>
        <v xml:space="preserve">ma_cay_phan_cap_7 varchar(15) NULL, </v>
      </c>
    </row>
    <row r="101" spans="1:2" s="41" customFormat="1" x14ac:dyDescent="0.2">
      <c r="B101" s="41" t="str">
        <f t="shared" si="4"/>
        <v xml:space="preserve">ma_cay_phan_cap_8 varchar(15) NULL, </v>
      </c>
    </row>
    <row r="102" spans="1:2" s="41" customFormat="1" x14ac:dyDescent="0.2">
      <c r="B102" s="41" t="str">
        <f t="shared" si="4"/>
        <v xml:space="preserve">ma_cay_phan_cap_9 varchar(15) NULL, </v>
      </c>
    </row>
    <row r="103" spans="1:2" s="41" customFormat="1" x14ac:dyDescent="0.2">
      <c r="B103" s="41" t="str">
        <f t="shared" si="4"/>
        <v xml:space="preserve">ma_cay_phan_cap_10 varchar(15) NULL, </v>
      </c>
    </row>
    <row r="104" spans="1:2" s="41" customFormat="1" x14ac:dyDescent="0.2">
      <c r="B104" s="41" t="str">
        <f t="shared" si="4"/>
        <v xml:space="preserve">trang_thai varchar(32) NULL, </v>
      </c>
    </row>
    <row r="105" spans="1:2" s="41" customFormat="1" x14ac:dyDescent="0.2">
      <c r="B105" s="41" t="str">
        <f t="shared" si="4"/>
        <v xml:space="preserve">ngay_tao datetime NULL, </v>
      </c>
    </row>
    <row r="106" spans="1:2" s="41" customFormat="1" x14ac:dyDescent="0.2">
      <c r="B106" s="41" t="str">
        <f t="shared" si="4"/>
        <v xml:space="preserve">nguoi_tao nvarchar(32) NULL, </v>
      </c>
    </row>
    <row r="107" spans="1:2" s="41" customFormat="1" x14ac:dyDescent="0.2">
      <c r="B107" s="41" t="str">
        <f t="shared" si="4"/>
        <v xml:space="preserve">ngay_cap_nhat datetime NULL, </v>
      </c>
    </row>
    <row r="108" spans="1:2" s="41" customFormat="1" x14ac:dyDescent="0.2">
      <c r="B108" s="41" t="str">
        <f t="shared" si="4"/>
        <v>nguoi_cap_nhat nvarchar(32) NULL</v>
      </c>
    </row>
    <row r="109" spans="1:2" s="41" customFormat="1" x14ac:dyDescent="0.2">
      <c r="A109" s="41" t="s">
        <v>74</v>
      </c>
    </row>
    <row r="110" spans="1:2" s="41" customFormat="1" x14ac:dyDescent="0.2">
      <c r="B110" s="5" t="str">
        <f>IF(D4=TRUE, A4&amp;IF(D5="", "", ", "), "")</f>
        <v xml:space="preserve">id, </v>
      </c>
    </row>
    <row r="111" spans="1:2" s="41" customFormat="1" x14ac:dyDescent="0.2">
      <c r="B111" s="5" t="str">
        <f t="shared" ref="B111:B112" si="5">IF(D5=TRUE, A5&amp;IF(D6="", "", ", "), "")</f>
        <v xml:space="preserve">ma_san_pham, </v>
      </c>
    </row>
    <row r="112" spans="1:2" s="41" customFormat="1" x14ac:dyDescent="0.2">
      <c r="B112" s="5" t="str">
        <f t="shared" si="5"/>
        <v>ma_gian_hang</v>
      </c>
    </row>
    <row r="113" spans="1:2" s="41" customFormat="1" x14ac:dyDescent="0.2">
      <c r="B113" s="41" t="s">
        <v>75</v>
      </c>
    </row>
    <row r="114" spans="1:2" s="41" customFormat="1" x14ac:dyDescent="0.2">
      <c r="A114" s="41" t="s">
        <v>73</v>
      </c>
    </row>
  </sheetData>
  <mergeCells count="1">
    <mergeCell ref="A23:B23"/>
  </mergeCells>
  <hyperlinks>
    <hyperlink ref="D1" location="'Sheet List'!A1" display="back to list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1"/>
  <sheetViews>
    <sheetView zoomScaleNormal="100" workbookViewId="0">
      <selection activeCell="D45" sqref="D45"/>
    </sheetView>
  </sheetViews>
  <sheetFormatPr defaultRowHeight="12.75" x14ac:dyDescent="0.2"/>
  <cols>
    <col min="1" max="1" width="23.85546875" customWidth="1"/>
    <col min="2" max="2" width="15" customWidth="1"/>
    <col min="3" max="3" width="45.42578125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2" x14ac:dyDescent="0.2">
      <c r="A1" s="1" t="s">
        <v>8</v>
      </c>
      <c r="B1" s="1" t="s">
        <v>107</v>
      </c>
      <c r="D1" s="26" t="s">
        <v>18</v>
      </c>
    </row>
    <row r="3" spans="1:12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ht="15" x14ac:dyDescent="0.25">
      <c r="A5" s="38" t="s">
        <v>52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2" ht="15" x14ac:dyDescent="0.25">
      <c r="A6" s="38" t="s">
        <v>26</v>
      </c>
      <c r="B6" s="23" t="s">
        <v>7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2" ht="15" x14ac:dyDescent="0.25">
      <c r="A7" s="48" t="s">
        <v>57</v>
      </c>
      <c r="B7" s="23" t="s">
        <v>7</v>
      </c>
      <c r="C7" s="27">
        <v>15</v>
      </c>
      <c r="D7" s="23" t="b">
        <v>1</v>
      </c>
      <c r="E7" s="23"/>
      <c r="F7" s="23" t="b">
        <v>0</v>
      </c>
      <c r="G7" s="23"/>
      <c r="H7" s="23"/>
      <c r="I7" s="24"/>
      <c r="J7" s="25"/>
    </row>
    <row r="8" spans="1:12" x14ac:dyDescent="0.2">
      <c r="A8" s="22" t="s">
        <v>106</v>
      </c>
      <c r="B8" s="23" t="s">
        <v>7</v>
      </c>
      <c r="C8" s="27" t="s">
        <v>118</v>
      </c>
      <c r="D8" s="23"/>
      <c r="E8" s="23"/>
      <c r="F8" s="23" t="b">
        <v>0</v>
      </c>
      <c r="G8" s="23"/>
      <c r="H8" s="23"/>
      <c r="I8" s="24"/>
      <c r="J8" s="25"/>
    </row>
    <row r="9" spans="1:12" x14ac:dyDescent="0.2">
      <c r="A9" s="22" t="s">
        <v>105</v>
      </c>
      <c r="B9" s="23" t="s">
        <v>20</v>
      </c>
      <c r="C9" s="27" t="s">
        <v>118</v>
      </c>
      <c r="D9" s="23"/>
      <c r="E9" s="23"/>
      <c r="F9" s="23" t="b">
        <v>0</v>
      </c>
      <c r="G9" s="23"/>
      <c r="H9" s="23"/>
      <c r="I9" s="24"/>
      <c r="J9" s="25"/>
    </row>
    <row r="10" spans="1:12" x14ac:dyDescent="0.2">
      <c r="A10" s="22" t="s">
        <v>21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2" x14ac:dyDescent="0.2">
      <c r="A11" s="22" t="s">
        <v>22</v>
      </c>
      <c r="B11" s="23" t="s">
        <v>20</v>
      </c>
      <c r="C11" s="27">
        <v>32</v>
      </c>
      <c r="D11" s="23"/>
      <c r="E11" s="23"/>
      <c r="F11" s="23" t="b">
        <v>1</v>
      </c>
      <c r="G11" s="23"/>
      <c r="H11" s="23"/>
      <c r="I11" s="24"/>
      <c r="J11" s="25"/>
    </row>
    <row r="12" spans="1:12" x14ac:dyDescent="0.2">
      <c r="A12" s="22" t="s">
        <v>23</v>
      </c>
      <c r="B12" s="23" t="s">
        <v>9</v>
      </c>
      <c r="C12" s="27"/>
      <c r="D12" s="23"/>
      <c r="E12" s="23"/>
      <c r="F12" s="23" t="b">
        <v>1</v>
      </c>
      <c r="G12" s="23"/>
      <c r="H12" s="23"/>
      <c r="I12" s="24"/>
      <c r="J12" s="25"/>
    </row>
    <row r="13" spans="1:12" x14ac:dyDescent="0.2">
      <c r="A13" s="30" t="s">
        <v>24</v>
      </c>
      <c r="B13" s="28" t="s">
        <v>20</v>
      </c>
      <c r="C13" s="29">
        <v>32</v>
      </c>
      <c r="D13" s="28"/>
      <c r="E13" s="28"/>
      <c r="F13" s="28" t="b">
        <v>1</v>
      </c>
      <c r="G13" s="23"/>
      <c r="H13" s="23"/>
      <c r="I13" s="24"/>
      <c r="J13" s="25"/>
    </row>
    <row r="14" spans="1:12" ht="13.5" thickBot="1" x14ac:dyDescent="0.25"/>
    <row r="15" spans="1:12" ht="13.5" thickBot="1" x14ac:dyDescent="0.25">
      <c r="A15" s="60" t="s">
        <v>10</v>
      </c>
      <c r="B15" s="61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">
      <c r="A17" s="5" t="str">
        <f>"if exists (select * from dbo.sysobjects where id = object_id(N'[dbo].["&amp;$B$1&amp;"]') and OBJECTPROPERTY(id, N'IsUserTable') = 1)"</f>
        <v>if exists (select * from dbo.sysobjects where id = object_id(N'[dbo].[Merchant_Product_Property]')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">
      <c r="A18" s="9" t="str">
        <f>"drop table [dbo].["&amp;$B$1&amp;"]"</f>
        <v>drop table [dbo].[Merchant_Product_Property]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10" t="str">
        <f>"CREATE TABLE [dbo].["&amp;$B$1&amp;"] ("</f>
        <v>CREATE TABLE [dbo].[Merchant_Product_Property]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10"/>
      <c r="B23" s="5" t="str">
        <f t="shared" ref="B23:B31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[ma_san_pham]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10"/>
      <c r="B24" s="5" t="str">
        <f t="shared" si="0"/>
        <v xml:space="preserve">[ma_gian_hang] [varchar]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/>
      <c r="B25" s="5" t="str">
        <f t="shared" si="0"/>
        <v xml:space="preserve">[ma_thong_so] [varchar] (15)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 t="shared" si="0"/>
        <v xml:space="preserve">[ma_thuoc_tinh] [varchar] (MAX)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si="0"/>
        <v xml:space="preserve">[gia_tri] [nvarchar] (MAX)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[ngay_tao] [datetime]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[nguoi_tao] [nvarchar] (32)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[ngay_cap_nhat] [datetime]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>[nguoi_cap_nhat] [nvarchar] (32) NULL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9" t="s">
        <v>12</v>
      </c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9" t="s">
        <v>11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9"/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9" t="str">
        <f>"ALTER TABLE [dbo].["&amp;$B$1&amp;"] ADD"</f>
        <v>ALTER TABLE [dbo].[Merchant_Product_Property] ADD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9"/>
      <c r="B36" s="5" t="str">
        <f>"CONSTRAINT [PK_"&amp;$B$1&amp;"] PRIMARY KEY  CLUSTERED"</f>
        <v>CONSTRAINT [PK_Merchant_Product_Property] PRIMARY KEY  CLUSTERED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9"/>
      <c r="B37" s="5" t="s">
        <v>13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/>
      <c r="B38" s="5"/>
      <c r="C38" s="5" t="str">
        <f>IF(D4=TRUE, "["&amp;A4&amp;"]"&amp;IF(D5="", "", ", "), "")</f>
        <v xml:space="preserve">[id], </v>
      </c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/>
      <c r="B39" s="5"/>
      <c r="C39" s="5" t="str">
        <f t="shared" ref="C39:C41" si="1">IF(D5=TRUE, "["&amp;A5&amp;"]"&amp;IF(D6="", "", ", "), "")</f>
        <v xml:space="preserve">[ma_san_pham], </v>
      </c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 t="str">
        <f t="shared" si="1"/>
        <v xml:space="preserve">[ma_gian_hang], 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/>
      <c r="B41" s="5"/>
      <c r="C41" s="5" t="str">
        <f t="shared" si="1"/>
        <v>[ma_thong_so]</v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 t="s">
        <v>14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ht="13.5" thickBot="1" x14ac:dyDescent="0.25">
      <c r="A43" s="11" t="s">
        <v>11</v>
      </c>
      <c r="B43" s="12"/>
      <c r="C43" s="12"/>
      <c r="D43" s="12"/>
      <c r="E43" s="12"/>
      <c r="F43" s="13"/>
      <c r="G43" s="12"/>
      <c r="H43" s="12"/>
      <c r="I43" s="14"/>
      <c r="J43" s="14"/>
      <c r="K43" s="12"/>
      <c r="L43" s="15"/>
    </row>
    <row r="44" spans="1:12" x14ac:dyDescent="0.2">
      <c r="A44" s="2"/>
      <c r="B44" s="2"/>
      <c r="C44" t="s">
        <v>44</v>
      </c>
      <c r="D44" s="2"/>
      <c r="E44" s="2"/>
      <c r="F44" s="3"/>
      <c r="G44" s="2"/>
      <c r="H44" s="2"/>
      <c r="I44" s="4"/>
      <c r="J44" s="4"/>
      <c r="K44" s="2"/>
      <c r="L44" s="2"/>
    </row>
    <row r="45" spans="1:12" x14ac:dyDescent="0.2">
      <c r="A45" s="37" t="s">
        <v>45</v>
      </c>
      <c r="B45" s="37" t="str">
        <f>B1</f>
        <v>Merchant_Product_Property</v>
      </c>
      <c r="C45" s="37"/>
    </row>
    <row r="46" spans="1:12" x14ac:dyDescent="0.2">
      <c r="A46" s="37" t="s">
        <v>46</v>
      </c>
      <c r="B46" s="37"/>
      <c r="C46" s="37"/>
    </row>
    <row r="47" spans="1:12" x14ac:dyDescent="0.2">
      <c r="A47" s="37"/>
      <c r="B47" s="37" t="s">
        <v>47</v>
      </c>
      <c r="C47" s="37"/>
    </row>
    <row r="48" spans="1:12" x14ac:dyDescent="0.2">
      <c r="A48" s="37"/>
      <c r="B48" s="37" t="s">
        <v>48</v>
      </c>
      <c r="C48" s="37"/>
    </row>
    <row r="49" spans="1:3" x14ac:dyDescent="0.2">
      <c r="A49" s="37" t="s">
        <v>49</v>
      </c>
      <c r="B49" s="37" t="str">
        <f>IF(OR($B4="nvarchar",$B4="varchar"),"string",IF($B4="datetime","DateTime",$B4))</f>
        <v>int</v>
      </c>
      <c r="C49" s="37" t="str">
        <f>A4&amp;" "&amp;$C$44</f>
        <v>id  { get; set; }</v>
      </c>
    </row>
    <row r="50" spans="1:3" x14ac:dyDescent="0.2">
      <c r="A50" s="37" t="s">
        <v>49</v>
      </c>
      <c r="B50" s="37" t="str">
        <f t="shared" ref="B50:B58" si="2">IF(OR($B5="nvarchar",$B5="varchar"),"string",IF($B5="datetime","DateTime",$B5))</f>
        <v>string</v>
      </c>
      <c r="C50" s="37" t="str">
        <f t="shared" ref="C50:C58" si="3">A5&amp;" "&amp;$C$44</f>
        <v>ma_san_pham  { get; set; }</v>
      </c>
    </row>
    <row r="51" spans="1:3" x14ac:dyDescent="0.2">
      <c r="A51" s="37" t="s">
        <v>49</v>
      </c>
      <c r="B51" s="37" t="str">
        <f t="shared" si="2"/>
        <v>string</v>
      </c>
      <c r="C51" s="37" t="str">
        <f t="shared" si="3"/>
        <v>ma_gian_hang  { get; set; }</v>
      </c>
    </row>
    <row r="52" spans="1:3" x14ac:dyDescent="0.2">
      <c r="A52" s="37" t="s">
        <v>49</v>
      </c>
      <c r="B52" s="37" t="str">
        <f t="shared" si="2"/>
        <v>string</v>
      </c>
      <c r="C52" s="37" t="str">
        <f t="shared" si="3"/>
        <v>ma_thong_so  { get; set; }</v>
      </c>
    </row>
    <row r="53" spans="1:3" x14ac:dyDescent="0.2">
      <c r="A53" s="37" t="s">
        <v>49</v>
      </c>
      <c r="B53" s="37" t="str">
        <f t="shared" si="2"/>
        <v>string</v>
      </c>
      <c r="C53" s="37" t="str">
        <f t="shared" si="3"/>
        <v>ma_thuoc_tinh  { get; set; }</v>
      </c>
    </row>
    <row r="54" spans="1:3" x14ac:dyDescent="0.2">
      <c r="A54" s="37" t="s">
        <v>49</v>
      </c>
      <c r="B54" s="37" t="str">
        <f t="shared" si="2"/>
        <v>string</v>
      </c>
      <c r="C54" s="37" t="str">
        <f t="shared" si="3"/>
        <v>gia_tri  { get; set; }</v>
      </c>
    </row>
    <row r="55" spans="1:3" x14ac:dyDescent="0.2">
      <c r="A55" s="37" t="s">
        <v>49</v>
      </c>
      <c r="B55" s="37" t="str">
        <f t="shared" si="2"/>
        <v>DateTime</v>
      </c>
      <c r="C55" s="37" t="str">
        <f t="shared" si="3"/>
        <v>ngay_tao  { get; set; }</v>
      </c>
    </row>
    <row r="56" spans="1:3" x14ac:dyDescent="0.2">
      <c r="A56" s="37" t="s">
        <v>49</v>
      </c>
      <c r="B56" s="37" t="str">
        <f t="shared" si="2"/>
        <v>string</v>
      </c>
      <c r="C56" s="37" t="str">
        <f t="shared" si="3"/>
        <v>nguoi_tao  { get; set; }</v>
      </c>
    </row>
    <row r="57" spans="1:3" x14ac:dyDescent="0.2">
      <c r="A57" s="37" t="s">
        <v>49</v>
      </c>
      <c r="B57" s="37" t="str">
        <f t="shared" si="2"/>
        <v>DateTime</v>
      </c>
      <c r="C57" s="37" t="str">
        <f t="shared" si="3"/>
        <v>ngay_cap_nhat  { get; set; }</v>
      </c>
    </row>
    <row r="58" spans="1:3" x14ac:dyDescent="0.2">
      <c r="A58" s="37" t="s">
        <v>49</v>
      </c>
      <c r="B58" s="37" t="str">
        <f t="shared" si="2"/>
        <v>string</v>
      </c>
      <c r="C58" s="37" t="str">
        <f t="shared" si="3"/>
        <v>nguoi_cap_nhat  { get; set; }</v>
      </c>
    </row>
    <row r="59" spans="1:3" x14ac:dyDescent="0.2">
      <c r="A59" s="37" t="s">
        <v>50</v>
      </c>
    </row>
    <row r="63" spans="1:3" s="41" customFormat="1" x14ac:dyDescent="0.2">
      <c r="A63" s="40" t="str">
        <f>"DROP TABLE IF EXISTS "&amp;$B$1&amp;";"</f>
        <v>DROP TABLE IF EXISTS Merchant_Product_Property;</v>
      </c>
    </row>
    <row r="64" spans="1:3" s="41" customFormat="1" x14ac:dyDescent="0.2">
      <c r="A64" s="42" t="str">
        <f>"CREATE TABLE "&amp;$B$1&amp;"("</f>
        <v>CREATE TABLE Merchant_Product_Property(</v>
      </c>
    </row>
    <row r="65" spans="1:2" s="41" customFormat="1" x14ac:dyDescent="0.2">
      <c r="B65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66" spans="1:2" s="41" customFormat="1" x14ac:dyDescent="0.2">
      <c r="B66" s="41" t="str">
        <f t="shared" ref="B66:B74" si="4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ma_san_pham varchar(20) NOT NULL, </v>
      </c>
    </row>
    <row r="67" spans="1:2" s="41" customFormat="1" x14ac:dyDescent="0.2">
      <c r="B67" s="41" t="str">
        <f t="shared" si="4"/>
        <v xml:space="preserve">ma_gian_hang varchar(20) NOT NULL, </v>
      </c>
    </row>
    <row r="68" spans="1:2" s="41" customFormat="1" x14ac:dyDescent="0.2">
      <c r="B68" s="41" t="str">
        <f t="shared" si="4"/>
        <v xml:space="preserve">ma_thong_so varchar(15) NOT NULL, </v>
      </c>
    </row>
    <row r="69" spans="1:2" s="41" customFormat="1" x14ac:dyDescent="0.2">
      <c r="B69" s="41" t="str">
        <f t="shared" si="4"/>
        <v xml:space="preserve">ma_thuoc_tinh varchar(MAX) NOT NULL, </v>
      </c>
    </row>
    <row r="70" spans="1:2" s="41" customFormat="1" x14ac:dyDescent="0.2">
      <c r="B70" s="41" t="str">
        <f t="shared" si="4"/>
        <v xml:space="preserve">gia_tri nvarchar(MAX) NOT NULL, </v>
      </c>
    </row>
    <row r="71" spans="1:2" s="41" customFormat="1" x14ac:dyDescent="0.2">
      <c r="B71" s="41" t="str">
        <f t="shared" si="4"/>
        <v xml:space="preserve">ngay_tao datetime NULL, </v>
      </c>
    </row>
    <row r="72" spans="1:2" s="41" customFormat="1" x14ac:dyDescent="0.2">
      <c r="B72" s="41" t="str">
        <f t="shared" si="4"/>
        <v xml:space="preserve">nguoi_tao nvarchar(32) NULL, </v>
      </c>
    </row>
    <row r="73" spans="1:2" s="41" customFormat="1" x14ac:dyDescent="0.2">
      <c r="B73" s="41" t="str">
        <f t="shared" si="4"/>
        <v xml:space="preserve">ngay_cap_nhat datetime NULL, </v>
      </c>
    </row>
    <row r="74" spans="1:2" s="41" customFormat="1" x14ac:dyDescent="0.2">
      <c r="B74" s="41" t="str">
        <f t="shared" si="4"/>
        <v>nguoi_cap_nhat nvarchar(32) NULL</v>
      </c>
    </row>
    <row r="75" spans="1:2" s="41" customFormat="1" x14ac:dyDescent="0.2">
      <c r="A75" s="41" t="s">
        <v>74</v>
      </c>
    </row>
    <row r="76" spans="1:2" s="41" customFormat="1" x14ac:dyDescent="0.2">
      <c r="B76" s="5" t="str">
        <f>IF(D4=TRUE, A4&amp;IF(D5="", "", ", "), "")</f>
        <v xml:space="preserve">id, </v>
      </c>
    </row>
    <row r="77" spans="1:2" s="41" customFormat="1" x14ac:dyDescent="0.2">
      <c r="B77" s="5" t="str">
        <f t="shared" ref="B77:B79" si="5">IF(D5=TRUE, A5&amp;IF(D6="", "", ", "), "")</f>
        <v xml:space="preserve">ma_san_pham, </v>
      </c>
    </row>
    <row r="78" spans="1:2" s="41" customFormat="1" x14ac:dyDescent="0.2">
      <c r="B78" s="5" t="str">
        <f t="shared" si="5"/>
        <v xml:space="preserve">ma_gian_hang, </v>
      </c>
    </row>
    <row r="79" spans="1:2" s="41" customFormat="1" x14ac:dyDescent="0.2">
      <c r="B79" s="5" t="str">
        <f t="shared" si="5"/>
        <v>ma_thong_so</v>
      </c>
    </row>
    <row r="80" spans="1:2" s="41" customFormat="1" x14ac:dyDescent="0.2">
      <c r="B80" s="41" t="s">
        <v>75</v>
      </c>
    </row>
    <row r="81" spans="1:1" s="41" customFormat="1" x14ac:dyDescent="0.2">
      <c r="A81" s="41" t="s">
        <v>73</v>
      </c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7"/>
  <sheetViews>
    <sheetView workbookViewId="0">
      <selection activeCell="C12" sqref="C12"/>
    </sheetView>
  </sheetViews>
  <sheetFormatPr defaultRowHeight="12.75" x14ac:dyDescent="0.2"/>
  <cols>
    <col min="1" max="1" width="23.85546875" customWidth="1"/>
    <col min="2" max="2" width="25.5703125" customWidth="1"/>
    <col min="3" max="3" width="20.8554687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129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123</v>
      </c>
      <c r="B5" s="23" t="s">
        <v>7</v>
      </c>
      <c r="C5" s="27">
        <v>15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26</v>
      </c>
      <c r="B6" s="23" t="s">
        <v>20</v>
      </c>
      <c r="C6" s="27">
        <v>15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124</v>
      </c>
      <c r="B7" s="23" t="s">
        <v>20</v>
      </c>
      <c r="C7" s="27">
        <v>250</v>
      </c>
      <c r="D7" s="23"/>
      <c r="E7" s="23"/>
      <c r="F7" s="23"/>
      <c r="G7" s="23"/>
      <c r="H7" s="23"/>
      <c r="I7" s="24"/>
      <c r="J7" s="25"/>
    </row>
    <row r="8" spans="1:10" x14ac:dyDescent="0.2">
      <c r="A8" s="22" t="s">
        <v>125</v>
      </c>
      <c r="B8" s="23" t="s">
        <v>20</v>
      </c>
      <c r="C8" s="27">
        <v>20</v>
      </c>
      <c r="D8" s="23"/>
      <c r="E8" s="23"/>
      <c r="F8" s="23"/>
      <c r="G8" s="23"/>
      <c r="H8" s="23"/>
      <c r="I8" s="24" t="s">
        <v>128</v>
      </c>
      <c r="J8" s="25"/>
    </row>
    <row r="9" spans="1:10" x14ac:dyDescent="0.2">
      <c r="A9" s="22" t="s">
        <v>105</v>
      </c>
      <c r="B9" s="23" t="s">
        <v>56</v>
      </c>
      <c r="C9" s="27">
        <v>50</v>
      </c>
      <c r="D9" s="23"/>
      <c r="E9" s="23"/>
      <c r="F9" s="23"/>
      <c r="G9" s="23"/>
      <c r="H9" s="23"/>
      <c r="I9" s="24"/>
      <c r="J9" s="25"/>
    </row>
    <row r="10" spans="1:10" x14ac:dyDescent="0.2">
      <c r="A10" s="22" t="s">
        <v>93</v>
      </c>
      <c r="B10" s="23" t="s">
        <v>7</v>
      </c>
      <c r="C10" s="27">
        <v>20</v>
      </c>
      <c r="D10" s="23"/>
      <c r="E10" s="23"/>
      <c r="F10" s="23"/>
      <c r="G10" s="23"/>
      <c r="H10" s="23"/>
      <c r="I10" s="24"/>
      <c r="J10" s="25"/>
    </row>
    <row r="11" spans="1:10" x14ac:dyDescent="0.2">
      <c r="A11" s="22" t="s">
        <v>92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">
      <c r="A12" s="22" t="s">
        <v>51</v>
      </c>
      <c r="B12" s="23" t="s">
        <v>7</v>
      </c>
      <c r="C12" s="27">
        <v>32</v>
      </c>
      <c r="D12" s="23"/>
      <c r="E12" s="23"/>
      <c r="F12" s="23"/>
      <c r="G12" s="23"/>
      <c r="H12" s="23"/>
      <c r="I12" s="24"/>
      <c r="J12" s="25"/>
    </row>
    <row r="13" spans="1:10" x14ac:dyDescent="0.2">
      <c r="A13" s="22" t="s">
        <v>21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22" t="s">
        <v>22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">
      <c r="A15" s="22" t="s">
        <v>23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">
      <c r="A16" s="22" t="s">
        <v>24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ht="13.5" thickBot="1" x14ac:dyDescent="0.25"/>
    <row r="18" spans="1:12" ht="13.5" thickBot="1" x14ac:dyDescent="0.25">
      <c r="A18" s="60" t="s">
        <v>10</v>
      </c>
      <c r="B18" s="61"/>
      <c r="C18" s="16"/>
      <c r="D18" s="17"/>
      <c r="E18" s="17"/>
      <c r="F18" s="18"/>
      <c r="G18" s="18"/>
      <c r="H18" s="18"/>
      <c r="I18" s="18"/>
      <c r="J18" s="18"/>
      <c r="K18" s="18"/>
      <c r="L18" s="18"/>
    </row>
    <row r="19" spans="1:12" x14ac:dyDescent="0.2">
      <c r="A19" s="5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5" t="str">
        <f>"if exists (select * from dbo.sysobjects where id = object_id(N'[dbo].["&amp;$B$1&amp;"]') and OBJECTPROPERTY(id, N'IsUserTable') = 1)"</f>
        <v>if exists (select * from dbo.sysobjects where id = object_id(N'[dbo].[Merchant_Product_Promotion]') and OBJECTPROPERTY(id, N'IsUserTable') = 1)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9" t="str">
        <f>"drop table [dbo].["&amp;$B$1&amp;"]"</f>
        <v>drop table [dbo].[Merchant_Product_Promotion]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9" t="s">
        <v>11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10" t="str">
        <f>"CREATE TABLE [dbo].["&amp;$B$1&amp;"] ("</f>
        <v>CREATE TABLE [dbo].[Merchant_Product_Promotion] (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/>
      <c r="B25" s="5" t="str">
        <f t="shared" ref="B25:B37" si="0"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 t="shared" si="0"/>
        <v xml:space="preserve">[ma_chuong_trinh_km] [varchar] (15)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si="0"/>
        <v xml:space="preserve">[ma_gian_hang] [nvarchar] (15)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[ten_chuong_trinh_km] [nvarchar] (250)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[loai] [nvarchar] (20)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[gia_tri] [float]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[ngay_bat_dau] [varchar] (20)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[ngay_ket_thuc] [nvarchar] (50)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[trang_thai] [varchar] (32)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[ngay_tao] [datetime]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[nguoi_tao]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[ngay_cap_nhat] [datetime]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>[nguoi_cap_nhat] [nvarchar] (32) NULL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 t="s">
        <v>12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 t="s">
        <v>11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 t="str">
        <f>"ALTER TABLE [dbo].["&amp;$B$1&amp;"] ADD"</f>
        <v>ALTER TABLE [dbo].[Merchant_Product_Promotion] ADD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 t="str">
        <f>"CONSTRAINT [PK_"&amp;$B$1&amp;"] PRIMARY KEY  CLUSTERED"</f>
        <v>CONSTRAINT [PK_Merchant_Product_Promotion] PRIMARY KEY  CLUSTERED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/>
      <c r="B43" s="5" t="s">
        <v>13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/>
      <c r="B44" s="5"/>
      <c r="C44" s="5" t="str">
        <f>IF(D4=TRUE, "["&amp;A4&amp;"]"&amp;IF(D5="", "", ", "), "")</f>
        <v xml:space="preserve">[id], </v>
      </c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/>
      <c r="C45" s="5" t="str">
        <f>IF(D5=TRUE, "["&amp;A5&amp;"]"&amp;IF(D6="", "", ", "), "")</f>
        <v>[ma_chuong_trinh_km]</v>
      </c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/>
      <c r="B46" s="5"/>
      <c r="C46" s="5" t="str">
        <f>IF(D6=TRUE, "["&amp;A6&amp;"]"&amp;IF(D7="", "", ", "), "")</f>
        <v/>
      </c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 t="s">
        <v>14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ht="13.5" thickBot="1" x14ac:dyDescent="0.25">
      <c r="A48" s="11" t="s">
        <v>11</v>
      </c>
      <c r="B48" s="12"/>
      <c r="C48" s="12"/>
      <c r="D48" s="12"/>
      <c r="E48" s="12"/>
      <c r="F48" s="13"/>
      <c r="G48" s="12"/>
      <c r="H48" s="12"/>
      <c r="I48" s="14"/>
      <c r="J48" s="14"/>
      <c r="K48" s="12"/>
      <c r="L48" s="15"/>
    </row>
    <row r="49" spans="1:12" x14ac:dyDescent="0.2">
      <c r="A49" s="2"/>
      <c r="B49" s="2"/>
      <c r="C49" s="2"/>
      <c r="D49" s="2"/>
      <c r="E49" s="2"/>
      <c r="F49" s="3"/>
      <c r="G49" s="2"/>
      <c r="H49" s="2"/>
      <c r="I49" s="4"/>
      <c r="J49" s="4"/>
      <c r="K49" s="2"/>
      <c r="L49" s="2"/>
    </row>
    <row r="50" spans="1:12" x14ac:dyDescent="0.2">
      <c r="C50" t="s">
        <v>44</v>
      </c>
    </row>
    <row r="54" spans="1:12" x14ac:dyDescent="0.2">
      <c r="A54" s="37" t="s">
        <v>45</v>
      </c>
      <c r="B54" s="37" t="str">
        <f>B1</f>
        <v>Merchant_Product_Promotion</v>
      </c>
      <c r="C54" s="37"/>
    </row>
    <row r="55" spans="1:12" x14ac:dyDescent="0.2">
      <c r="A55" s="37" t="s">
        <v>46</v>
      </c>
      <c r="B55" s="37"/>
      <c r="C55" s="37"/>
    </row>
    <row r="56" spans="1:12" x14ac:dyDescent="0.2">
      <c r="A56" s="37"/>
      <c r="B56" s="37" t="s">
        <v>47</v>
      </c>
      <c r="C56" s="37"/>
    </row>
    <row r="57" spans="1:12" x14ac:dyDescent="0.2">
      <c r="A57" s="37"/>
      <c r="B57" s="37" t="s">
        <v>48</v>
      </c>
      <c r="C57" s="37"/>
    </row>
    <row r="58" spans="1:12" x14ac:dyDescent="0.2">
      <c r="A58" s="37" t="s">
        <v>49</v>
      </c>
      <c r="B58" s="37" t="str">
        <f>IF(OR($B4="nvarchar",$B4="varchar"),"string",IF($B4="datetime","DateTime",$B4))</f>
        <v>int</v>
      </c>
      <c r="C58" s="37" t="str">
        <f t="shared" ref="C58:C70" si="1">A4&amp;" "&amp;$C$50</f>
        <v>id  { get; set; }</v>
      </c>
    </row>
    <row r="59" spans="1:12" x14ac:dyDescent="0.2">
      <c r="A59" s="37" t="s">
        <v>49</v>
      </c>
      <c r="B59" s="37" t="str">
        <f t="shared" ref="B59:B70" si="2">IF(OR($B5="nvarchar",$B5="varchar"),"string",IF($B5="datetime","DateTime",$B5))</f>
        <v>string</v>
      </c>
      <c r="C59" s="37" t="str">
        <f t="shared" si="1"/>
        <v>ma_chuong_trinh_km  { get; set; }</v>
      </c>
    </row>
    <row r="60" spans="1:12" x14ac:dyDescent="0.2">
      <c r="A60" s="37" t="s">
        <v>49</v>
      </c>
      <c r="B60" s="37" t="str">
        <f t="shared" si="2"/>
        <v>string</v>
      </c>
      <c r="C60" s="37" t="str">
        <f t="shared" si="1"/>
        <v>ma_gian_hang  { get; set; }</v>
      </c>
    </row>
    <row r="61" spans="1:12" x14ac:dyDescent="0.2">
      <c r="A61" s="37" t="s">
        <v>49</v>
      </c>
      <c r="B61" s="37" t="str">
        <f t="shared" si="2"/>
        <v>string</v>
      </c>
      <c r="C61" s="37" t="str">
        <f t="shared" si="1"/>
        <v>ten_chuong_trinh_km  { get; set; }</v>
      </c>
    </row>
    <row r="62" spans="1:12" x14ac:dyDescent="0.2">
      <c r="A62" s="37" t="s">
        <v>49</v>
      </c>
      <c r="B62" s="37" t="str">
        <f t="shared" si="2"/>
        <v>string</v>
      </c>
      <c r="C62" s="37" t="str">
        <f t="shared" si="1"/>
        <v>loai  { get; set; }</v>
      </c>
    </row>
    <row r="63" spans="1:12" x14ac:dyDescent="0.2">
      <c r="A63" s="37" t="s">
        <v>49</v>
      </c>
      <c r="B63" s="37" t="str">
        <f t="shared" si="2"/>
        <v>float</v>
      </c>
      <c r="C63" s="37" t="str">
        <f t="shared" si="1"/>
        <v>gia_tri  { get; set; }</v>
      </c>
    </row>
    <row r="64" spans="1:12" x14ac:dyDescent="0.2">
      <c r="A64" s="37" t="s">
        <v>49</v>
      </c>
      <c r="B64" s="37" t="str">
        <f t="shared" si="2"/>
        <v>string</v>
      </c>
      <c r="C64" s="37" t="str">
        <f t="shared" si="1"/>
        <v>ngay_bat_dau  { get; set; }</v>
      </c>
    </row>
    <row r="65" spans="1:13" x14ac:dyDescent="0.2">
      <c r="A65" s="37" t="s">
        <v>49</v>
      </c>
      <c r="B65" s="37" t="str">
        <f t="shared" si="2"/>
        <v>string</v>
      </c>
      <c r="C65" s="37" t="str">
        <f t="shared" si="1"/>
        <v>ngay_ket_thuc  { get; set; }</v>
      </c>
    </row>
    <row r="66" spans="1:13" x14ac:dyDescent="0.2">
      <c r="A66" s="37" t="s">
        <v>49</v>
      </c>
      <c r="B66" s="37" t="str">
        <f t="shared" si="2"/>
        <v>string</v>
      </c>
      <c r="C66" s="37" t="str">
        <f t="shared" si="1"/>
        <v>trang_thai  { get; set; }</v>
      </c>
    </row>
    <row r="67" spans="1:13" x14ac:dyDescent="0.2">
      <c r="A67" s="37" t="s">
        <v>49</v>
      </c>
      <c r="B67" s="37" t="str">
        <f t="shared" si="2"/>
        <v>DateTime</v>
      </c>
      <c r="C67" s="37" t="str">
        <f t="shared" si="1"/>
        <v>ngay_tao  { get; set; }</v>
      </c>
    </row>
    <row r="68" spans="1:13" x14ac:dyDescent="0.2">
      <c r="A68" s="37" t="s">
        <v>49</v>
      </c>
      <c r="B68" s="37" t="str">
        <f t="shared" si="2"/>
        <v>string</v>
      </c>
      <c r="C68" s="37" t="str">
        <f t="shared" si="1"/>
        <v>nguoi_tao  { get; set; }</v>
      </c>
    </row>
    <row r="69" spans="1:13" x14ac:dyDescent="0.2">
      <c r="A69" s="37" t="s">
        <v>49</v>
      </c>
      <c r="B69" s="37" t="str">
        <f t="shared" si="2"/>
        <v>DateTime</v>
      </c>
      <c r="C69" s="37" t="str">
        <f t="shared" si="1"/>
        <v>ngay_cap_nhat  { get; set; }</v>
      </c>
    </row>
    <row r="70" spans="1:13" x14ac:dyDescent="0.2">
      <c r="A70" s="37" t="s">
        <v>49</v>
      </c>
      <c r="B70" s="37" t="str">
        <f t="shared" si="2"/>
        <v>string</v>
      </c>
      <c r="C70" s="37" t="str">
        <f t="shared" si="1"/>
        <v>nguoi_cap_nhat  { get; set; }</v>
      </c>
    </row>
    <row r="71" spans="1:13" x14ac:dyDescent="0.2">
      <c r="A71" s="37" t="s">
        <v>50</v>
      </c>
      <c r="B71" s="37"/>
      <c r="C71" s="37" t="str">
        <f>IF($B18="nvarchar","("&amp;$C$5&amp;")",IF($B18="varchar","("&amp;$C18&amp;")",""))</f>
        <v/>
      </c>
    </row>
    <row r="73" spans="1:13" x14ac:dyDescent="0.2">
      <c r="A73" s="37" t="s">
        <v>72</v>
      </c>
    </row>
    <row r="74" spans="1:13" x14ac:dyDescent="0.2">
      <c r="A74" s="40" t="str">
        <f>"DROP TABLE IF EXISTS "&amp;$B$1&amp;"s;"</f>
        <v>DROP TABLE IF EXISTS Merchant_Product_Promotions;</v>
      </c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</row>
    <row r="75" spans="1:13" x14ac:dyDescent="0.2">
      <c r="A75" s="42" t="str">
        <f>"CREATE TABLE "&amp;$B$1&amp;"("</f>
        <v>CREATE TABLE Merchant_Product_Promotion(</v>
      </c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</row>
    <row r="76" spans="1:13" x14ac:dyDescent="0.2">
      <c r="A76" s="41"/>
      <c r="B76" s="41" t="str">
        <f t="shared" ref="B76:B88" si="3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</row>
    <row r="77" spans="1:13" x14ac:dyDescent="0.2">
      <c r="A77" s="41"/>
      <c r="B77" s="41" t="str">
        <f t="shared" si="3"/>
        <v xml:space="preserve">ma_chuong_trinh_km varchar(15) NOT NULL, 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</row>
    <row r="78" spans="1:13" x14ac:dyDescent="0.2">
      <c r="A78" s="41"/>
      <c r="B78" s="41" t="str">
        <f t="shared" si="3"/>
        <v xml:space="preserve">ma_gian_hang nvarchar(15) NOT NULL, 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</row>
    <row r="79" spans="1:13" x14ac:dyDescent="0.2">
      <c r="A79" s="41"/>
      <c r="B79" s="41" t="str">
        <f t="shared" si="3"/>
        <v xml:space="preserve">ten_chuong_trinh_km nvarchar(250) NOT NULL, 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</row>
    <row r="80" spans="1:13" x14ac:dyDescent="0.2">
      <c r="A80" s="41"/>
      <c r="B80" s="41" t="str">
        <f t="shared" si="3"/>
        <v xml:space="preserve">loai nvarchar(20) NOT NULL, </v>
      </c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</row>
    <row r="81" spans="1:13" x14ac:dyDescent="0.2">
      <c r="A81" s="41"/>
      <c r="B81" s="41" t="str">
        <f t="shared" si="3"/>
        <v xml:space="preserve">gia_tri float NOT NULL, 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</row>
    <row r="82" spans="1:13" x14ac:dyDescent="0.2">
      <c r="A82" s="41"/>
      <c r="B82" s="41" t="str">
        <f t="shared" si="3"/>
        <v xml:space="preserve">ngay_bat_dau varchar(20) NOT NULL, 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</row>
    <row r="83" spans="1:13" x14ac:dyDescent="0.2">
      <c r="A83" s="41"/>
      <c r="B83" s="41" t="str">
        <f t="shared" si="3"/>
        <v xml:space="preserve">ngay_ket_thuc nvarchar(50) NOT NULL, 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</row>
    <row r="84" spans="1:13" x14ac:dyDescent="0.2">
      <c r="A84" s="41"/>
      <c r="B84" s="41" t="str">
        <f t="shared" si="3"/>
        <v xml:space="preserve">trang_thai varchar(32) NOT NULL, 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</row>
    <row r="85" spans="1:13" x14ac:dyDescent="0.2">
      <c r="A85" s="41"/>
      <c r="B85" s="41" t="str">
        <f t="shared" si="3"/>
        <v xml:space="preserve">ngay_tao datetime NULL, </v>
      </c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</row>
    <row r="86" spans="1:13" x14ac:dyDescent="0.2">
      <c r="A86" s="41"/>
      <c r="B86" s="41" t="str">
        <f t="shared" si="3"/>
        <v xml:space="preserve">nguoi_tao nvarchar(32) NULL, </v>
      </c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</row>
    <row r="87" spans="1:13" x14ac:dyDescent="0.2">
      <c r="A87" s="41"/>
      <c r="B87" s="41" t="str">
        <f t="shared" si="3"/>
        <v xml:space="preserve">ngay_cap_nhat datetime NULL, </v>
      </c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</row>
    <row r="88" spans="1:13" x14ac:dyDescent="0.2">
      <c r="A88" s="41"/>
      <c r="B88" s="41" t="str">
        <f t="shared" si="3"/>
        <v>nguoi_cap_nhat nvarchar(32) NULL</v>
      </c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</row>
    <row r="89" spans="1:13" x14ac:dyDescent="0.2">
      <c r="A89" s="41" t="s">
        <v>74</v>
      </c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</row>
    <row r="90" spans="1:13" x14ac:dyDescent="0.2">
      <c r="A90" s="41"/>
      <c r="B90" s="5" t="str">
        <f>IF(D4=TRUE, A4&amp;IF(D5="", "", ", "), "")</f>
        <v xml:space="preserve">id, </v>
      </c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</row>
    <row r="91" spans="1:13" x14ac:dyDescent="0.2">
      <c r="A91" s="41"/>
      <c r="B91" s="5" t="str">
        <f t="shared" ref="B91:B92" si="4">IF(D5=TRUE, A5&amp;IF(D6="", "", ", "), "")</f>
        <v>ma_chuong_trinh_km</v>
      </c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</row>
    <row r="92" spans="1:13" x14ac:dyDescent="0.2">
      <c r="A92" s="41"/>
      <c r="B92" s="5" t="str">
        <f t="shared" si="4"/>
        <v/>
      </c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</row>
    <row r="93" spans="1:13" x14ac:dyDescent="0.2">
      <c r="A93" s="41"/>
      <c r="B93" s="41" t="s">
        <v>75</v>
      </c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</row>
    <row r="94" spans="1:13" x14ac:dyDescent="0.2">
      <c r="A94" s="41" t="s">
        <v>73</v>
      </c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</row>
    <row r="95" spans="1:13" x14ac:dyDescent="0.2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</row>
    <row r="96" spans="1:13" s="41" customFormat="1" x14ac:dyDescent="0.2"/>
    <row r="97" s="41" customFormat="1" x14ac:dyDescent="0.2"/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2"/>
  <sheetViews>
    <sheetView topLeftCell="C45" workbookViewId="0">
      <selection sqref="A1:XFD1048576"/>
    </sheetView>
  </sheetViews>
  <sheetFormatPr defaultRowHeight="12.75" x14ac:dyDescent="0.2"/>
  <cols>
    <col min="1" max="1" width="23.85546875" customWidth="1"/>
    <col min="2" max="2" width="32.14062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2" x14ac:dyDescent="0.2">
      <c r="A1" s="1" t="s">
        <v>8</v>
      </c>
      <c r="B1" s="1" t="s">
        <v>127</v>
      </c>
      <c r="D1" s="26" t="s">
        <v>18</v>
      </c>
    </row>
    <row r="3" spans="1:12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">
      <c r="A5" s="22" t="s">
        <v>123</v>
      </c>
      <c r="B5" s="23" t="s">
        <v>7</v>
      </c>
      <c r="C5" s="27">
        <v>15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2" x14ac:dyDescent="0.2">
      <c r="A6" s="22" t="s">
        <v>26</v>
      </c>
      <c r="B6" s="23" t="s">
        <v>20</v>
      </c>
      <c r="C6" s="27">
        <v>15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2" x14ac:dyDescent="0.2">
      <c r="A7" s="22" t="s">
        <v>52</v>
      </c>
      <c r="B7" s="23" t="s">
        <v>20</v>
      </c>
      <c r="C7" s="27">
        <v>50</v>
      </c>
      <c r="D7" s="23" t="b">
        <v>1</v>
      </c>
      <c r="E7" s="23"/>
      <c r="F7" s="23" t="b">
        <v>0</v>
      </c>
      <c r="G7" s="23"/>
      <c r="H7" s="23"/>
      <c r="I7" s="24"/>
      <c r="J7" s="25"/>
    </row>
    <row r="8" spans="1:12" x14ac:dyDescent="0.2">
      <c r="A8" s="22" t="s">
        <v>21</v>
      </c>
      <c r="B8" s="23" t="s">
        <v>9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">
      <c r="A9" s="22" t="s">
        <v>22</v>
      </c>
      <c r="B9" s="23" t="s">
        <v>20</v>
      </c>
      <c r="C9" s="27">
        <v>32</v>
      </c>
      <c r="D9" s="23"/>
      <c r="E9" s="23"/>
      <c r="F9" s="23" t="b">
        <v>1</v>
      </c>
      <c r="G9" s="23"/>
      <c r="H9" s="23"/>
      <c r="I9" s="24"/>
      <c r="J9" s="25"/>
    </row>
    <row r="10" spans="1:12" ht="13.5" thickBot="1" x14ac:dyDescent="0.25"/>
    <row r="11" spans="1:12" ht="13.5" thickBot="1" x14ac:dyDescent="0.25">
      <c r="A11" s="60" t="s">
        <v>10</v>
      </c>
      <c r="B11" s="61"/>
      <c r="C11" s="16"/>
      <c r="D11" s="17"/>
      <c r="E11" s="17"/>
      <c r="F11" s="18"/>
      <c r="G11" s="18"/>
      <c r="H11" s="18"/>
      <c r="I11" s="18"/>
      <c r="J11" s="18"/>
      <c r="K11" s="18"/>
      <c r="L11" s="18"/>
    </row>
    <row r="12" spans="1:12" x14ac:dyDescent="0.2">
      <c r="A12" s="5"/>
      <c r="B12" s="5"/>
      <c r="C12" s="5"/>
      <c r="D12" s="5"/>
      <c r="E12" s="5"/>
      <c r="F12" s="6"/>
      <c r="G12" s="5"/>
      <c r="H12" s="5"/>
      <c r="I12" s="7"/>
      <c r="J12" s="7"/>
      <c r="K12" s="5"/>
      <c r="L12" s="8"/>
    </row>
    <row r="13" spans="1:12" x14ac:dyDescent="0.2">
      <c r="A13" s="5" t="str">
        <f>"if exists (select * from dbo.sysobjects where id = object_id(N'[dbo].["&amp;$B$1&amp;"]') and OBJECTPROPERTY(id, N'IsUserTable') = 1)"</f>
        <v>if exists (select * from dbo.sysobjects where id = object_id(N'[dbo].[Merchant_Product_Promotion_Detail]') and OBJECTPROPERTY(id, N'IsUserTable') = 1)</v>
      </c>
      <c r="B13" s="5"/>
      <c r="C13" s="5"/>
      <c r="D13" s="5"/>
      <c r="E13" s="5"/>
      <c r="F13" s="6"/>
      <c r="G13" s="5"/>
      <c r="H13" s="5"/>
      <c r="I13" s="7"/>
      <c r="J13" s="7"/>
      <c r="K13" s="5"/>
      <c r="L13" s="8"/>
    </row>
    <row r="14" spans="1:12" x14ac:dyDescent="0.2">
      <c r="A14" s="9" t="str">
        <f>"drop table [dbo].["&amp;$B$1&amp;"]"</f>
        <v>drop table [dbo].[Merchant_Product_Promotion_Detail]</v>
      </c>
      <c r="B14" s="5"/>
      <c r="C14" s="5"/>
      <c r="D14" s="5"/>
      <c r="E14" s="5"/>
      <c r="F14" s="6"/>
      <c r="G14" s="5"/>
      <c r="H14" s="5"/>
      <c r="I14" s="7"/>
      <c r="J14" s="7"/>
      <c r="K14" s="5"/>
      <c r="L14" s="8"/>
    </row>
    <row r="15" spans="1:12" x14ac:dyDescent="0.2">
      <c r="A15" s="9" t="s">
        <v>11</v>
      </c>
      <c r="B15" s="5"/>
      <c r="C15" s="5"/>
      <c r="D15" s="5"/>
      <c r="E15" s="5"/>
      <c r="F15" s="6"/>
      <c r="G15" s="5"/>
      <c r="H15" s="5"/>
      <c r="I15" s="7"/>
      <c r="J15" s="7"/>
      <c r="K15" s="5"/>
      <c r="L15" s="8"/>
    </row>
    <row r="16" spans="1:12" x14ac:dyDescent="0.2">
      <c r="A16" s="9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">
      <c r="A17" s="10" t="str">
        <f>"CREATE TABLE [dbo].["&amp;$B$1&amp;"] ("</f>
        <v>CREATE TABLE [dbo].[Merchant_Product_Promotion_Detail] (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">
      <c r="A18" s="10"/>
      <c r="B18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">
      <c r="A19" s="10"/>
      <c r="B19" s="5" t="str">
        <f t="shared" ref="B19:B23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[ma_chuong_trinh_km] [varchar] (15) NOT NULL, </v>
      </c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10"/>
      <c r="B20" s="5" t="str">
        <f t="shared" si="0"/>
        <v xml:space="preserve">[ma_gian_hang] [nvarchar] (15) NOT NULL, </v>
      </c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10"/>
      <c r="B21" s="5" t="str">
        <f t="shared" si="0"/>
        <v xml:space="preserve">[ma_san_pham] [nvarchar] (50) NOT NULL, </v>
      </c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10"/>
      <c r="B22" s="5" t="str">
        <f t="shared" si="0"/>
        <v xml:space="preserve">[ngay_tao] [datetime]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10"/>
      <c r="B23" s="5" t="str">
        <f t="shared" si="0"/>
        <v>[nguoi_tao] [nvarchar] (32) NULL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9" t="s">
        <v>12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9" t="s">
        <v>11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9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9" t="str">
        <f>"ALTER TABLE [dbo].["&amp;$B$1&amp;"] ADD"</f>
        <v>ALTER TABLE [dbo].[Merchant_Product_Promotion_Detail] ADD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9"/>
      <c r="B28" s="5" t="str">
        <f>"CONSTRAINT [PK_"&amp;$B$1&amp;"] PRIMARY KEY  CLUSTERED"</f>
        <v>CONSTRAINT [PK_Merchant_Product_Promotion_Detail] PRIMARY KEY  CLUSTERED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9"/>
      <c r="B29" s="5" t="s">
        <v>13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/>
      <c r="B30" s="5"/>
      <c r="C30" s="5" t="str">
        <f>IF(D4=TRUE, "["&amp;A4&amp;"]"&amp;IF(D5="", "", ", "), "")</f>
        <v xml:space="preserve">[id], </v>
      </c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9"/>
      <c r="B31" s="5"/>
      <c r="C31" s="5" t="str">
        <f t="shared" ref="C31:C33" si="1">IF(D5=TRUE, "["&amp;A5&amp;"]"&amp;IF(D6="", "", ", "), "")</f>
        <v xml:space="preserve">[ma_chuong_trinh_km], </v>
      </c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9"/>
      <c r="B32" s="5"/>
      <c r="C32" s="5" t="str">
        <f t="shared" si="1"/>
        <v xml:space="preserve">[ma_gian_hang], </v>
      </c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9"/>
      <c r="B33" s="5"/>
      <c r="C33" s="5" t="str">
        <f t="shared" si="1"/>
        <v>[ma_san_pham]</v>
      </c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9"/>
      <c r="B34" s="5" t="s">
        <v>14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ht="13.5" thickBot="1" x14ac:dyDescent="0.25">
      <c r="A35" s="11" t="s">
        <v>11</v>
      </c>
      <c r="B35" s="12"/>
      <c r="C35" s="12"/>
      <c r="D35" s="12"/>
      <c r="E35" s="12"/>
      <c r="F35" s="13"/>
      <c r="G35" s="12"/>
      <c r="H35" s="12"/>
      <c r="I35" s="14"/>
      <c r="J35" s="14"/>
      <c r="K35" s="12"/>
      <c r="L35" s="15"/>
    </row>
    <row r="36" spans="1:12" x14ac:dyDescent="0.2">
      <c r="A36" s="2"/>
      <c r="B36" s="2"/>
      <c r="C36" s="2"/>
      <c r="D36" s="2"/>
      <c r="E36" s="2"/>
      <c r="F36" s="3"/>
      <c r="G36" s="2"/>
      <c r="H36" s="2"/>
      <c r="I36" s="4"/>
      <c r="J36" s="4"/>
      <c r="K36" s="2"/>
      <c r="L36" s="2"/>
    </row>
    <row r="37" spans="1:12" x14ac:dyDescent="0.2">
      <c r="C37" t="s">
        <v>44</v>
      </c>
    </row>
    <row r="41" spans="1:12" x14ac:dyDescent="0.2">
      <c r="A41" s="37" t="s">
        <v>45</v>
      </c>
      <c r="B41" s="37" t="str">
        <f>B1</f>
        <v>Merchant_Product_Promotion_Detail</v>
      </c>
      <c r="C41" s="37"/>
    </row>
    <row r="42" spans="1:12" x14ac:dyDescent="0.2">
      <c r="A42" s="37" t="s">
        <v>46</v>
      </c>
      <c r="B42" s="37"/>
      <c r="C42" s="37"/>
    </row>
    <row r="43" spans="1:12" x14ac:dyDescent="0.2">
      <c r="A43" s="37"/>
      <c r="B43" s="37" t="s">
        <v>47</v>
      </c>
      <c r="C43" s="37"/>
    </row>
    <row r="44" spans="1:12" x14ac:dyDescent="0.2">
      <c r="A44" s="37"/>
      <c r="B44" s="37" t="s">
        <v>48</v>
      </c>
      <c r="C44" s="37"/>
    </row>
    <row r="45" spans="1:12" x14ac:dyDescent="0.2">
      <c r="A45" s="37" t="s">
        <v>49</v>
      </c>
      <c r="B45" s="37" t="str">
        <f t="shared" ref="B45:B50" si="2">IF(OR($B4="nvarchar",$B4="varchar"),"string",IF($B4="datetime","DateTime",$B4))</f>
        <v>int</v>
      </c>
      <c r="C45" s="37" t="str">
        <f>A4&amp;" "&amp;$C$37</f>
        <v>id  { get; set; }</v>
      </c>
    </row>
    <row r="46" spans="1:12" x14ac:dyDescent="0.2">
      <c r="A46" s="37" t="s">
        <v>49</v>
      </c>
      <c r="B46" s="37" t="str">
        <f t="shared" si="2"/>
        <v>string</v>
      </c>
      <c r="C46" s="37" t="str">
        <f t="shared" ref="C46:C50" si="3">A5&amp;" "&amp;$C$37</f>
        <v>ma_chuong_trinh_km  { get; set; }</v>
      </c>
    </row>
    <row r="47" spans="1:12" x14ac:dyDescent="0.2">
      <c r="A47" s="37" t="s">
        <v>49</v>
      </c>
      <c r="B47" s="37" t="str">
        <f t="shared" si="2"/>
        <v>string</v>
      </c>
      <c r="C47" s="37" t="str">
        <f t="shared" si="3"/>
        <v>ma_gian_hang  { get; set; }</v>
      </c>
    </row>
    <row r="48" spans="1:12" x14ac:dyDescent="0.2">
      <c r="A48" s="37" t="s">
        <v>49</v>
      </c>
      <c r="B48" s="37" t="str">
        <f t="shared" si="2"/>
        <v>string</v>
      </c>
      <c r="C48" s="37" t="str">
        <f t="shared" si="3"/>
        <v>ma_san_pham  { get; set; }</v>
      </c>
    </row>
    <row r="49" spans="1:3" x14ac:dyDescent="0.2">
      <c r="A49" s="37" t="s">
        <v>49</v>
      </c>
      <c r="B49" s="37" t="str">
        <f t="shared" si="2"/>
        <v>DateTime</v>
      </c>
      <c r="C49" s="37" t="str">
        <f t="shared" si="3"/>
        <v>ngay_tao  { get; set; }</v>
      </c>
    </row>
    <row r="50" spans="1:3" x14ac:dyDescent="0.2">
      <c r="A50" s="37" t="s">
        <v>49</v>
      </c>
      <c r="B50" s="37" t="str">
        <f t="shared" si="2"/>
        <v>string</v>
      </c>
      <c r="C50" s="37" t="str">
        <f t="shared" si="3"/>
        <v>nguoi_tao  { get; set; }</v>
      </c>
    </row>
    <row r="51" spans="1:3" x14ac:dyDescent="0.2">
      <c r="A51" s="37" t="s">
        <v>50</v>
      </c>
      <c r="B51" s="37"/>
      <c r="C51" s="37" t="str">
        <f>IF($B11="nvarchar","("&amp;$C$5&amp;")",IF($B11="varchar","("&amp;$C11&amp;")",""))</f>
        <v/>
      </c>
    </row>
    <row r="53" spans="1:3" x14ac:dyDescent="0.2">
      <c r="A53" s="37" t="s">
        <v>72</v>
      </c>
    </row>
    <row r="54" spans="1:3" s="41" customFormat="1" x14ac:dyDescent="0.2">
      <c r="A54" s="40" t="str">
        <f>"DROP TABLE IF EXISTS "&amp;$B$1&amp;"s;"</f>
        <v>DROP TABLE IF EXISTS Merchant_Product_Promotion_Details;</v>
      </c>
    </row>
    <row r="55" spans="1:3" s="41" customFormat="1" x14ac:dyDescent="0.2">
      <c r="A55" s="42" t="str">
        <f>"CREATE TABLE "&amp;$B$1&amp;"("</f>
        <v>CREATE TABLE Merchant_Product_Promotion_Detail(</v>
      </c>
    </row>
    <row r="56" spans="1:3" s="41" customFormat="1" x14ac:dyDescent="0.2">
      <c r="B56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57" spans="1:3" s="41" customFormat="1" x14ac:dyDescent="0.2">
      <c r="B57" s="41" t="str">
        <f t="shared" ref="B57:B61" si="4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ma_chuong_trinh_km varchar(15) NOT NULL, </v>
      </c>
    </row>
    <row r="58" spans="1:3" s="41" customFormat="1" x14ac:dyDescent="0.2">
      <c r="B58" s="41" t="str">
        <f t="shared" si="4"/>
        <v xml:space="preserve">ma_gian_hang nvarchar(15) NOT NULL, </v>
      </c>
    </row>
    <row r="59" spans="1:3" s="41" customFormat="1" x14ac:dyDescent="0.2">
      <c r="B59" s="41" t="str">
        <f t="shared" si="4"/>
        <v xml:space="preserve">ma_san_pham nvarchar(50) NOT NULL, </v>
      </c>
    </row>
    <row r="60" spans="1:3" s="41" customFormat="1" x14ac:dyDescent="0.2">
      <c r="B60" s="41" t="str">
        <f t="shared" si="4"/>
        <v xml:space="preserve">ngay_tao datetime NULL, </v>
      </c>
    </row>
    <row r="61" spans="1:3" s="41" customFormat="1" x14ac:dyDescent="0.2">
      <c r="B61" s="41" t="str">
        <f t="shared" si="4"/>
        <v>nguoi_tao nvarchar(32) NULL</v>
      </c>
    </row>
    <row r="62" spans="1:3" s="41" customFormat="1" x14ac:dyDescent="0.2">
      <c r="A62" s="41" t="s">
        <v>74</v>
      </c>
    </row>
    <row r="63" spans="1:3" s="41" customFormat="1" x14ac:dyDescent="0.2">
      <c r="B63" s="5" t="str">
        <f>IF(D4=TRUE, A4&amp;IF(D5="", "", ", "), "")</f>
        <v xml:space="preserve">id, </v>
      </c>
    </row>
    <row r="64" spans="1:3" s="41" customFormat="1" x14ac:dyDescent="0.2">
      <c r="B64" s="5" t="str">
        <f t="shared" ref="B64:B66" si="5">IF(D5=TRUE, A5&amp;IF(D6="", "", ", "), "")</f>
        <v xml:space="preserve">ma_chuong_trinh_km, </v>
      </c>
    </row>
    <row r="65" spans="1:2" s="41" customFormat="1" x14ac:dyDescent="0.2">
      <c r="B65" s="5" t="str">
        <f t="shared" si="5"/>
        <v xml:space="preserve">ma_gian_hang, </v>
      </c>
    </row>
    <row r="66" spans="1:2" s="41" customFormat="1" x14ac:dyDescent="0.2">
      <c r="B66" s="5" t="str">
        <f t="shared" si="5"/>
        <v>ma_san_pham</v>
      </c>
    </row>
    <row r="67" spans="1:2" s="41" customFormat="1" x14ac:dyDescent="0.2">
      <c r="B67" s="41" t="s">
        <v>75</v>
      </c>
    </row>
    <row r="68" spans="1:2" s="41" customFormat="1" x14ac:dyDescent="0.2">
      <c r="A68" s="41" t="s">
        <v>73</v>
      </c>
    </row>
    <row r="69" spans="1:2" s="41" customFormat="1" x14ac:dyDescent="0.2"/>
    <row r="70" spans="1:2" s="41" customFormat="1" x14ac:dyDescent="0.2"/>
    <row r="71" spans="1:2" s="41" customFormat="1" x14ac:dyDescent="0.2"/>
    <row r="72" spans="1:2" s="41" customFormat="1" x14ac:dyDescent="0.2"/>
  </sheetData>
  <mergeCells count="1">
    <mergeCell ref="A11:B11"/>
  </mergeCells>
  <hyperlinks>
    <hyperlink ref="D1" location="'Sheet List'!A1" display="back to list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"/>
  <sheetViews>
    <sheetView topLeftCell="A76" workbookViewId="0">
      <selection activeCell="A77" sqref="A77:XFD101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  <col min="14" max="14" width="3" bestFit="1" customWidth="1"/>
    <col min="15" max="26" width="15.7109375" customWidth="1"/>
  </cols>
  <sheetData>
    <row r="1" spans="1:10" x14ac:dyDescent="0.2">
      <c r="A1" s="1" t="s">
        <v>8</v>
      </c>
      <c r="B1" s="1" t="s">
        <v>89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26</v>
      </c>
      <c r="B5" s="23" t="s">
        <v>7</v>
      </c>
      <c r="C5" s="27">
        <v>15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27</v>
      </c>
      <c r="B6" s="23" t="s">
        <v>20</v>
      </c>
      <c r="C6" s="27">
        <v>15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80</v>
      </c>
      <c r="B7" s="23" t="s">
        <v>20</v>
      </c>
      <c r="C7" s="27">
        <v>50</v>
      </c>
      <c r="D7" s="23"/>
      <c r="E7" s="23"/>
      <c r="F7" s="23"/>
      <c r="G7" s="23"/>
      <c r="H7" s="23"/>
      <c r="I7" s="24"/>
      <c r="J7" s="25"/>
    </row>
    <row r="8" spans="1:10" x14ac:dyDescent="0.2">
      <c r="A8" s="22" t="s">
        <v>81</v>
      </c>
      <c r="B8" s="23" t="s">
        <v>20</v>
      </c>
      <c r="C8" s="27">
        <v>20</v>
      </c>
      <c r="D8" s="23"/>
      <c r="E8" s="23"/>
      <c r="F8" s="23"/>
      <c r="G8" s="23"/>
      <c r="H8" s="23"/>
      <c r="I8" s="24" t="s">
        <v>82</v>
      </c>
      <c r="J8" s="25"/>
    </row>
    <row r="9" spans="1:10" x14ac:dyDescent="0.2">
      <c r="A9" s="22" t="s">
        <v>32</v>
      </c>
      <c r="B9" s="23" t="s">
        <v>7</v>
      </c>
      <c r="C9" s="27">
        <v>50</v>
      </c>
      <c r="D9" s="23"/>
      <c r="E9" s="23"/>
      <c r="F9" s="23"/>
      <c r="G9" s="23"/>
      <c r="H9" s="23"/>
      <c r="I9" s="24"/>
      <c r="J9" s="25"/>
    </row>
    <row r="10" spans="1:10" x14ac:dyDescent="0.2">
      <c r="A10" s="22" t="s">
        <v>83</v>
      </c>
      <c r="B10" s="23" t="s">
        <v>7</v>
      </c>
      <c r="C10" s="27">
        <v>20</v>
      </c>
      <c r="D10" s="23"/>
      <c r="E10" s="23"/>
      <c r="F10" s="23"/>
      <c r="G10" s="23"/>
      <c r="H10" s="23"/>
      <c r="I10" s="24"/>
      <c r="J10" s="25"/>
    </row>
    <row r="11" spans="1:10" x14ac:dyDescent="0.2">
      <c r="A11" s="22" t="s">
        <v>84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">
      <c r="A12" s="22" t="s">
        <v>85</v>
      </c>
      <c r="B12" s="23" t="s">
        <v>86</v>
      </c>
      <c r="C12" s="27"/>
      <c r="D12" s="23"/>
      <c r="E12" s="23"/>
      <c r="F12" s="23"/>
      <c r="G12" s="23"/>
      <c r="H12" s="23"/>
      <c r="I12" s="24" t="s">
        <v>87</v>
      </c>
      <c r="J12" s="25"/>
    </row>
    <row r="13" spans="1:10" x14ac:dyDescent="0.2">
      <c r="A13" s="22" t="s">
        <v>88</v>
      </c>
      <c r="B13" s="23" t="s">
        <v>20</v>
      </c>
      <c r="C13" s="27">
        <v>500</v>
      </c>
      <c r="D13" s="23"/>
      <c r="E13" s="23"/>
      <c r="F13" s="23"/>
      <c r="G13" s="23"/>
      <c r="H13" s="23"/>
      <c r="I13" s="24"/>
      <c r="J13" s="25"/>
    </row>
    <row r="14" spans="1:10" x14ac:dyDescent="0.2">
      <c r="A14" s="22" t="s">
        <v>21</v>
      </c>
      <c r="B14" s="23" t="s">
        <v>9</v>
      </c>
      <c r="C14" s="27"/>
      <c r="D14" s="23"/>
      <c r="E14" s="23"/>
      <c r="F14" s="23" t="b">
        <v>1</v>
      </c>
      <c r="G14" s="23"/>
      <c r="H14" s="23"/>
      <c r="I14" s="24"/>
      <c r="J14" s="25"/>
    </row>
    <row r="15" spans="1:10" x14ac:dyDescent="0.2">
      <c r="A15" s="22" t="s">
        <v>22</v>
      </c>
      <c r="B15" s="23" t="s">
        <v>20</v>
      </c>
      <c r="C15" s="27">
        <v>32</v>
      </c>
      <c r="D15" s="23"/>
      <c r="E15" s="23"/>
      <c r="F15" s="23" t="b">
        <v>1</v>
      </c>
      <c r="G15" s="23"/>
      <c r="H15" s="23"/>
      <c r="I15" s="24"/>
      <c r="J15" s="25"/>
    </row>
    <row r="16" spans="1:10" x14ac:dyDescent="0.2">
      <c r="A16" s="22" t="s">
        <v>23</v>
      </c>
      <c r="B16" s="23" t="s">
        <v>9</v>
      </c>
      <c r="C16" s="27"/>
      <c r="D16" s="23"/>
      <c r="E16" s="23"/>
      <c r="F16" s="23" t="b">
        <v>1</v>
      </c>
      <c r="G16" s="23"/>
      <c r="H16" s="23"/>
      <c r="I16" s="24"/>
      <c r="J16" s="25"/>
    </row>
    <row r="17" spans="1:12" x14ac:dyDescent="0.2">
      <c r="A17" s="22" t="s">
        <v>24</v>
      </c>
      <c r="B17" s="23" t="s">
        <v>20</v>
      </c>
      <c r="C17" s="27">
        <v>32</v>
      </c>
      <c r="D17" s="23"/>
      <c r="E17" s="23"/>
      <c r="F17" s="23" t="b">
        <v>1</v>
      </c>
      <c r="G17" s="23"/>
      <c r="H17" s="23"/>
      <c r="I17" s="24"/>
      <c r="J17" s="25"/>
    </row>
    <row r="18" spans="1:12" ht="13.5" thickBot="1" x14ac:dyDescent="0.25"/>
    <row r="19" spans="1:12" ht="13.5" thickBot="1" x14ac:dyDescent="0.25">
      <c r="A19" s="60" t="s">
        <v>10</v>
      </c>
      <c r="B19" s="61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5" t="str">
        <f>"if exists (select * from dbo.sysobjects where id = object_id(N'[dbo].["&amp;$B$1&amp;"]') and OBJECTPROPERTY(id, N'IsUserTable') = 1)"</f>
        <v>if exists (select * from dbo.sysobjects where id = object_id(N'[dbo].[Merchant_Config]')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9" t="str">
        <f>"drop table [dbo].["&amp;$B$1&amp;"]"</f>
        <v>drop table [dbo].[Merchant_Config]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 t="str">
        <f>"CREATE TABLE [dbo].["&amp;$B$1&amp;"] ("</f>
        <v>CREATE TABLE [dbo].[Merchant_Config]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ref="B27:B3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[ma_gian_hang] [varchar] (15)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[ten_gian_hang] [nvarchar] (15)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[ten_nguoi_lien_he] [nvarchar] (50)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[danh_xung] [nvarchar] (20)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[email] [varchar] (50)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[so_dien_thoai] [varchar] (20)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[chuc_vu] [nvarchar] (50)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[quan_tri_gian_hang] [bit]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[ghi_chi] [nvarchar] (500)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[ngay_tao] [datetime]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[nguoi_tao] [nvarchar] (32)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[ngay_cap_nhat] [datetime]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>[nguoi_cap_nhat] [nvarchar] (32) NULL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 t="s">
        <v>12</v>
      </c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 t="s">
        <v>11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/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 t="str">
        <f>"ALTER TABLE [dbo].["&amp;$B$1&amp;"] ADD"</f>
        <v>ALTER TABLE [dbo].[Merchant_Config] ADD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/>
      <c r="B44" s="5" t="str">
        <f>"CONSTRAINT [PK_"&amp;$B$1&amp;"] PRIMARY KEY  CLUSTERED"</f>
        <v>CONSTRAINT [PK_Merchant_Config] PRIMARY KEY  CLUSTERED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 t="s">
        <v>13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/>
      <c r="B46" s="5"/>
      <c r="C46" s="5" t="str">
        <f>IF(D4=TRUE, "["&amp;A4&amp;"]"&amp;IF(D5="", "", ", "), "")</f>
        <v xml:space="preserve">[id], </v>
      </c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/>
      <c r="C47" s="5" t="str">
        <f>IF(D5=TRUE, "["&amp;A5&amp;"]"&amp;IF(D6="", "", ", "), "")</f>
        <v>[ma_gian_hang]</v>
      </c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/>
      <c r="B48" s="5"/>
      <c r="C48" s="5" t="str">
        <f>IF(D6=TRUE, "["&amp;A6&amp;"]"&amp;IF(D7="", "", ", "), "")</f>
        <v/>
      </c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 t="s">
        <v>14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ht="13.5" thickBot="1" x14ac:dyDescent="0.25">
      <c r="A50" s="11" t="s">
        <v>11</v>
      </c>
      <c r="B50" s="12"/>
      <c r="C50" s="12"/>
      <c r="D50" s="12"/>
      <c r="E50" s="12"/>
      <c r="F50" s="13"/>
      <c r="G50" s="12"/>
      <c r="H50" s="12"/>
      <c r="I50" s="14"/>
      <c r="J50" s="14"/>
      <c r="K50" s="12"/>
      <c r="L50" s="15"/>
    </row>
    <row r="51" spans="1:12" x14ac:dyDescent="0.2">
      <c r="A51" s="2"/>
      <c r="B51" s="2"/>
      <c r="C51" s="2"/>
      <c r="D51" s="2"/>
      <c r="E51" s="2"/>
      <c r="F51" s="3"/>
      <c r="G51" s="2"/>
      <c r="H51" s="2"/>
      <c r="I51" s="4"/>
      <c r="J51" s="4"/>
      <c r="K51" s="2"/>
      <c r="L51" s="2"/>
    </row>
    <row r="52" spans="1:12" x14ac:dyDescent="0.2">
      <c r="C52" t="s">
        <v>44</v>
      </c>
    </row>
    <row r="56" spans="1:12" x14ac:dyDescent="0.2">
      <c r="A56" s="37" t="s">
        <v>45</v>
      </c>
      <c r="B56" s="37" t="str">
        <f>B1</f>
        <v>Merchant_Config</v>
      </c>
      <c r="C56" s="37"/>
    </row>
    <row r="57" spans="1:12" x14ac:dyDescent="0.2">
      <c r="A57" s="37" t="s">
        <v>46</v>
      </c>
      <c r="B57" s="37"/>
      <c r="C57" s="37"/>
    </row>
    <row r="58" spans="1:12" x14ac:dyDescent="0.2">
      <c r="A58" s="37"/>
      <c r="B58" s="37" t="s">
        <v>47</v>
      </c>
      <c r="C58" s="37"/>
    </row>
    <row r="59" spans="1:12" x14ac:dyDescent="0.2">
      <c r="A59" s="37"/>
      <c r="B59" s="37" t="s">
        <v>48</v>
      </c>
      <c r="C59" s="37"/>
    </row>
    <row r="60" spans="1:12" x14ac:dyDescent="0.2">
      <c r="A60" s="37" t="s">
        <v>49</v>
      </c>
      <c r="B60" s="37" t="str">
        <f>IF(OR($B4="nvarchar",$B4="varchar"),"string",IF($B4="datetime","DateTime",$B4))</f>
        <v>int</v>
      </c>
      <c r="C60" s="37" t="str">
        <f>A4&amp;" "&amp;$C$52</f>
        <v>id  { get; set; }</v>
      </c>
    </row>
    <row r="61" spans="1:12" x14ac:dyDescent="0.2">
      <c r="A61" s="37" t="s">
        <v>49</v>
      </c>
      <c r="B61" s="37" t="str">
        <f t="shared" ref="B61:B73" si="1">IF(OR($B5="nvarchar",$B5="varchar"),"string",IF($B5="datetime","DateTime",$B5))</f>
        <v>string</v>
      </c>
      <c r="C61" s="37" t="str">
        <f t="shared" ref="C61:C73" si="2">A5&amp;" "&amp;$C$52</f>
        <v>ma_gian_hang  { get; set; }</v>
      </c>
    </row>
    <row r="62" spans="1:12" x14ac:dyDescent="0.2">
      <c r="A62" s="37" t="s">
        <v>49</v>
      </c>
      <c r="B62" s="37" t="str">
        <f t="shared" si="1"/>
        <v>string</v>
      </c>
      <c r="C62" s="37" t="str">
        <f t="shared" si="2"/>
        <v>ten_gian_hang  { get; set; }</v>
      </c>
    </row>
    <row r="63" spans="1:12" x14ac:dyDescent="0.2">
      <c r="A63" s="37" t="s">
        <v>49</v>
      </c>
      <c r="B63" s="37" t="str">
        <f t="shared" si="1"/>
        <v>string</v>
      </c>
      <c r="C63" s="37" t="str">
        <f t="shared" si="2"/>
        <v>ten_nguoi_lien_he  { get; set; }</v>
      </c>
    </row>
    <row r="64" spans="1:12" x14ac:dyDescent="0.2">
      <c r="A64" s="37" t="s">
        <v>49</v>
      </c>
      <c r="B64" s="37" t="str">
        <f t="shared" si="1"/>
        <v>string</v>
      </c>
      <c r="C64" s="37" t="str">
        <f t="shared" si="2"/>
        <v>danh_xung  { get; set; }</v>
      </c>
    </row>
    <row r="65" spans="1:3" x14ac:dyDescent="0.2">
      <c r="A65" s="37" t="s">
        <v>49</v>
      </c>
      <c r="B65" s="37" t="str">
        <f t="shared" si="1"/>
        <v>string</v>
      </c>
      <c r="C65" s="37" t="str">
        <f t="shared" si="2"/>
        <v>email  { get; set; }</v>
      </c>
    </row>
    <row r="66" spans="1:3" x14ac:dyDescent="0.2">
      <c r="A66" s="37" t="s">
        <v>49</v>
      </c>
      <c r="B66" s="37" t="str">
        <f t="shared" si="1"/>
        <v>string</v>
      </c>
      <c r="C66" s="37" t="str">
        <f t="shared" si="2"/>
        <v>so_dien_thoai  { get; set; }</v>
      </c>
    </row>
    <row r="67" spans="1:3" x14ac:dyDescent="0.2">
      <c r="A67" s="37" t="s">
        <v>49</v>
      </c>
      <c r="B67" s="37" t="str">
        <f t="shared" si="1"/>
        <v>string</v>
      </c>
      <c r="C67" s="37" t="str">
        <f t="shared" si="2"/>
        <v>chuc_vu  { get; set; }</v>
      </c>
    </row>
    <row r="68" spans="1:3" x14ac:dyDescent="0.2">
      <c r="A68" s="37" t="s">
        <v>49</v>
      </c>
      <c r="B68" s="37" t="str">
        <f t="shared" si="1"/>
        <v>bit</v>
      </c>
      <c r="C68" s="37" t="str">
        <f t="shared" si="2"/>
        <v>quan_tri_gian_hang  { get; set; }</v>
      </c>
    </row>
    <row r="69" spans="1:3" x14ac:dyDescent="0.2">
      <c r="A69" s="37" t="s">
        <v>49</v>
      </c>
      <c r="B69" s="37" t="str">
        <f t="shared" si="1"/>
        <v>string</v>
      </c>
      <c r="C69" s="37" t="str">
        <f t="shared" si="2"/>
        <v>ghi_chi  { get; set; }</v>
      </c>
    </row>
    <row r="70" spans="1:3" x14ac:dyDescent="0.2">
      <c r="A70" s="37" t="s">
        <v>49</v>
      </c>
      <c r="B70" s="37" t="str">
        <f t="shared" si="1"/>
        <v>DateTime</v>
      </c>
      <c r="C70" s="37" t="str">
        <f t="shared" si="2"/>
        <v>ngay_tao  { get; set; }</v>
      </c>
    </row>
    <row r="71" spans="1:3" x14ac:dyDescent="0.2">
      <c r="A71" s="37" t="s">
        <v>49</v>
      </c>
      <c r="B71" s="37" t="str">
        <f t="shared" si="1"/>
        <v>string</v>
      </c>
      <c r="C71" s="37" t="str">
        <f t="shared" si="2"/>
        <v>nguoi_tao  { get; set; }</v>
      </c>
    </row>
    <row r="72" spans="1:3" x14ac:dyDescent="0.2">
      <c r="A72" s="37" t="s">
        <v>49</v>
      </c>
      <c r="B72" s="37" t="str">
        <f t="shared" si="1"/>
        <v>DateTime</v>
      </c>
      <c r="C72" s="37" t="str">
        <f t="shared" si="2"/>
        <v>ngay_cap_nhat  { get; set; }</v>
      </c>
    </row>
    <row r="73" spans="1:3" x14ac:dyDescent="0.2">
      <c r="A73" s="37" t="s">
        <v>49</v>
      </c>
      <c r="B73" s="37" t="str">
        <f t="shared" si="1"/>
        <v>string</v>
      </c>
      <c r="C73" s="37" t="str">
        <f t="shared" si="2"/>
        <v>nguoi_cap_nhat  { get; set; }</v>
      </c>
    </row>
    <row r="74" spans="1:3" x14ac:dyDescent="0.2">
      <c r="A74" s="37" t="s">
        <v>50</v>
      </c>
      <c r="B74" s="37"/>
      <c r="C74" s="37" t="str">
        <f>IF($B19="nvarchar","("&amp;$C$5&amp;")",IF($B19="varchar","("&amp;$C19&amp;")",""))</f>
        <v/>
      </c>
    </row>
    <row r="76" spans="1:3" x14ac:dyDescent="0.2">
      <c r="A76" s="37" t="s">
        <v>72</v>
      </c>
    </row>
    <row r="77" spans="1:3" s="41" customFormat="1" x14ac:dyDescent="0.2">
      <c r="A77" s="40" t="str">
        <f>"DROP TABLE IF EXISTS "&amp;$B$1&amp;"s;"</f>
        <v>DROP TABLE IF EXISTS Merchant_Configs;</v>
      </c>
    </row>
    <row r="78" spans="1:3" s="41" customFormat="1" x14ac:dyDescent="0.2">
      <c r="A78" s="42" t="str">
        <f>"CREATE TABLE "&amp;$B$1&amp;"("</f>
        <v>CREATE TABLE Merchant_Config(</v>
      </c>
    </row>
    <row r="79" spans="1:3" s="41" customFormat="1" x14ac:dyDescent="0.2">
      <c r="B79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0" spans="1:3" s="41" customFormat="1" x14ac:dyDescent="0.2">
      <c r="B80" s="41" t="str">
        <f t="shared" ref="B80:B92" si="3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ma_gian_hang varchar(15) NOT NULL, </v>
      </c>
    </row>
    <row r="81" spans="1:2" s="41" customFormat="1" x14ac:dyDescent="0.2">
      <c r="B81" s="41" t="str">
        <f t="shared" si="3"/>
        <v xml:space="preserve">ten_gian_hang nvarchar(15) NOT NULL, </v>
      </c>
    </row>
    <row r="82" spans="1:2" s="41" customFormat="1" x14ac:dyDescent="0.2">
      <c r="B82" s="41" t="str">
        <f t="shared" si="3"/>
        <v xml:space="preserve">ten_nguoi_lien_he nvarchar(50) NOT NULL, </v>
      </c>
    </row>
    <row r="83" spans="1:2" s="41" customFormat="1" x14ac:dyDescent="0.2">
      <c r="B83" s="41" t="str">
        <f t="shared" si="3"/>
        <v xml:space="preserve">danh_xung nvarchar(20) NOT NULL, </v>
      </c>
    </row>
    <row r="84" spans="1:2" s="41" customFormat="1" x14ac:dyDescent="0.2">
      <c r="B84" s="41" t="str">
        <f t="shared" si="3"/>
        <v xml:space="preserve">email varchar(50) NOT NULL, </v>
      </c>
    </row>
    <row r="85" spans="1:2" s="41" customFormat="1" x14ac:dyDescent="0.2">
      <c r="B85" s="41" t="str">
        <f t="shared" si="3"/>
        <v xml:space="preserve">so_dien_thoai varchar(20) NOT NULL, </v>
      </c>
    </row>
    <row r="86" spans="1:2" s="41" customFormat="1" x14ac:dyDescent="0.2">
      <c r="B86" s="41" t="str">
        <f t="shared" si="3"/>
        <v xml:space="preserve">chuc_vu nvarchar(50) NOT NULL, </v>
      </c>
    </row>
    <row r="87" spans="1:2" s="41" customFormat="1" x14ac:dyDescent="0.2">
      <c r="B87" s="41" t="str">
        <f t="shared" si="3"/>
        <v xml:space="preserve">quan_tri_gian_hang bit NOT NULL, </v>
      </c>
    </row>
    <row r="88" spans="1:2" s="41" customFormat="1" x14ac:dyDescent="0.2">
      <c r="B88" s="41" t="str">
        <f t="shared" si="3"/>
        <v xml:space="preserve">ghi_chi nvarchar(500) NOT NULL, </v>
      </c>
    </row>
    <row r="89" spans="1:2" s="41" customFormat="1" x14ac:dyDescent="0.2">
      <c r="B89" s="41" t="str">
        <f t="shared" si="3"/>
        <v xml:space="preserve">ngay_tao datetime NULL, </v>
      </c>
    </row>
    <row r="90" spans="1:2" s="41" customFormat="1" x14ac:dyDescent="0.2">
      <c r="B90" s="41" t="str">
        <f t="shared" si="3"/>
        <v xml:space="preserve">nguoi_tao nvarchar(32) NULL, </v>
      </c>
    </row>
    <row r="91" spans="1:2" s="41" customFormat="1" x14ac:dyDescent="0.2">
      <c r="B91" s="41" t="str">
        <f t="shared" si="3"/>
        <v xml:space="preserve">ngay_cap_nhat datetime NULL, </v>
      </c>
    </row>
    <row r="92" spans="1:2" s="41" customFormat="1" x14ac:dyDescent="0.2">
      <c r="B92" s="41" t="str">
        <f t="shared" si="3"/>
        <v>nguoi_cap_nhat nvarchar(32) NULL</v>
      </c>
    </row>
    <row r="93" spans="1:2" s="41" customFormat="1" x14ac:dyDescent="0.2">
      <c r="A93" s="41" t="s">
        <v>74</v>
      </c>
    </row>
    <row r="94" spans="1:2" s="41" customFormat="1" x14ac:dyDescent="0.2">
      <c r="B94" s="5" t="str">
        <f>IF(D4=TRUE, A4&amp;IF(D5="", "", ", "), "")</f>
        <v xml:space="preserve">id, </v>
      </c>
    </row>
    <row r="95" spans="1:2" s="41" customFormat="1" x14ac:dyDescent="0.2">
      <c r="B95" s="5" t="str">
        <f>IF(D5=TRUE, A5&amp;IF(D6="", "", ", "), "")</f>
        <v>ma_gian_hang</v>
      </c>
    </row>
    <row r="96" spans="1:2" s="41" customFormat="1" x14ac:dyDescent="0.2">
      <c r="B96" s="41" t="s">
        <v>75</v>
      </c>
    </row>
    <row r="97" spans="1:1" s="41" customFormat="1" x14ac:dyDescent="0.2">
      <c r="A97" s="41" t="s">
        <v>73</v>
      </c>
    </row>
    <row r="98" spans="1:1" s="41" customFormat="1" x14ac:dyDescent="0.2"/>
    <row r="99" spans="1:1" s="41" customFormat="1" x14ac:dyDescent="0.2"/>
    <row r="100" spans="1:1" s="41" customFormat="1" x14ac:dyDescent="0.2"/>
    <row r="101" spans="1:1" s="41" customFormat="1" x14ac:dyDescent="0.2"/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3"/>
  <sheetViews>
    <sheetView workbookViewId="0">
      <selection activeCell="D1" sqref="D1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121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120</v>
      </c>
      <c r="B5" s="23" t="s">
        <v>7</v>
      </c>
      <c r="C5" s="27">
        <v>40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26</v>
      </c>
      <c r="B6" s="23" t="s">
        <v>20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105</v>
      </c>
      <c r="B7" s="23" t="s">
        <v>20</v>
      </c>
      <c r="C7" s="27" t="s">
        <v>118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51</v>
      </c>
      <c r="B8" s="23" t="s">
        <v>86</v>
      </c>
      <c r="C8" s="27"/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21</v>
      </c>
      <c r="B9" s="23" t="s">
        <v>9</v>
      </c>
      <c r="C9" s="27"/>
      <c r="D9" s="23"/>
      <c r="E9" s="23"/>
      <c r="F9" s="23" t="b">
        <v>1</v>
      </c>
      <c r="G9" s="32"/>
      <c r="H9" s="32"/>
      <c r="I9" s="33"/>
      <c r="J9" s="25"/>
    </row>
    <row r="10" spans="1:10" x14ac:dyDescent="0.2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0" x14ac:dyDescent="0.2">
      <c r="A11" s="22"/>
      <c r="B11" s="23"/>
      <c r="C11" s="27"/>
      <c r="D11" s="23"/>
      <c r="E11" s="23"/>
      <c r="F11" s="23"/>
      <c r="G11" s="23"/>
      <c r="H11" s="23"/>
      <c r="I11" s="24"/>
      <c r="J11" s="25"/>
    </row>
    <row r="12" spans="1:10" x14ac:dyDescent="0.2">
      <c r="A12" s="22"/>
      <c r="B12" s="23"/>
      <c r="C12" s="27"/>
      <c r="D12" s="23"/>
      <c r="E12" s="23"/>
      <c r="F12" s="23"/>
      <c r="G12" s="23"/>
      <c r="H12" s="23"/>
      <c r="I12" s="24"/>
      <c r="J12" s="25"/>
    </row>
    <row r="13" spans="1:10" x14ac:dyDescent="0.2">
      <c r="A13" s="22"/>
      <c r="B13" s="23"/>
      <c r="C13" s="27"/>
      <c r="D13" s="23"/>
      <c r="E13" s="23"/>
      <c r="F13" s="23"/>
      <c r="G13" s="23"/>
      <c r="H13" s="23"/>
      <c r="I13" s="24"/>
      <c r="J13" s="25"/>
    </row>
    <row r="14" spans="1:10" x14ac:dyDescent="0.2">
      <c r="A14" s="22"/>
      <c r="B14" s="23"/>
      <c r="C14" s="27"/>
      <c r="D14" s="23"/>
      <c r="E14" s="23"/>
      <c r="F14" s="23"/>
      <c r="G14" s="23"/>
      <c r="H14" s="23"/>
      <c r="I14" s="24"/>
      <c r="J14" s="25"/>
    </row>
    <row r="15" spans="1:10" x14ac:dyDescent="0.2">
      <c r="A15" s="22"/>
      <c r="B15" s="23"/>
      <c r="C15" s="27"/>
      <c r="D15" s="23"/>
      <c r="E15" s="23"/>
      <c r="F15" s="23"/>
      <c r="G15" s="23"/>
      <c r="H15" s="23"/>
      <c r="I15" s="24"/>
      <c r="J15" s="25"/>
    </row>
    <row r="16" spans="1:10" x14ac:dyDescent="0.2">
      <c r="A16" s="22"/>
      <c r="B16" s="23"/>
      <c r="C16" s="27"/>
      <c r="D16" s="23"/>
      <c r="E16" s="23"/>
      <c r="F16" s="23"/>
      <c r="G16" s="23"/>
      <c r="H16" s="23"/>
      <c r="I16" s="24"/>
      <c r="J16" s="25"/>
    </row>
    <row r="17" spans="1:10" x14ac:dyDescent="0.2">
      <c r="A17" s="22"/>
      <c r="B17" s="23"/>
      <c r="C17" s="27"/>
      <c r="D17" s="23"/>
      <c r="E17" s="23"/>
      <c r="F17" s="23"/>
      <c r="G17" s="23"/>
      <c r="H17" s="23"/>
      <c r="I17" s="24"/>
      <c r="J17" s="25"/>
    </row>
    <row r="18" spans="1:10" x14ac:dyDescent="0.2">
      <c r="A18" s="22"/>
      <c r="B18" s="23"/>
      <c r="C18" s="27"/>
      <c r="D18" s="23"/>
      <c r="E18" s="23"/>
      <c r="F18" s="23"/>
      <c r="G18" s="23"/>
      <c r="H18" s="23"/>
      <c r="I18" s="24"/>
      <c r="J18" s="25"/>
    </row>
    <row r="19" spans="1:10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0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0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0" x14ac:dyDescent="0.2">
      <c r="A22" s="30"/>
      <c r="B22" s="23"/>
      <c r="C22" s="27"/>
      <c r="D22" s="28"/>
      <c r="E22" s="28"/>
      <c r="F22" s="28"/>
      <c r="G22" s="28"/>
      <c r="H22" s="28"/>
      <c r="I22" s="31"/>
      <c r="J22" s="25"/>
    </row>
    <row r="23" spans="1:10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0" x14ac:dyDescent="0.2">
      <c r="A24" s="22"/>
      <c r="B24" s="23"/>
      <c r="C24" s="27"/>
      <c r="D24" s="23"/>
      <c r="E24" s="23"/>
      <c r="F24" s="23"/>
      <c r="G24" s="23"/>
      <c r="H24" s="23"/>
      <c r="I24" s="24"/>
      <c r="J24" s="25"/>
    </row>
    <row r="25" spans="1:10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0" x14ac:dyDescent="0.2">
      <c r="A26" s="22"/>
      <c r="B26" s="23"/>
      <c r="C26" s="27"/>
      <c r="D26" s="23"/>
      <c r="E26" s="23"/>
      <c r="F26" s="23"/>
      <c r="G26" s="23"/>
      <c r="H26" s="23"/>
      <c r="I26" s="24"/>
      <c r="J26" s="25"/>
    </row>
    <row r="27" spans="1:10" x14ac:dyDescent="0.2">
      <c r="A27" s="35"/>
      <c r="B27" s="23"/>
      <c r="C27" s="27"/>
      <c r="D27" s="32"/>
      <c r="E27" s="32"/>
      <c r="F27" s="32"/>
      <c r="G27" s="34"/>
      <c r="H27" s="34"/>
      <c r="I27" s="33"/>
      <c r="J27" s="25"/>
    </row>
    <row r="28" spans="1:10" x14ac:dyDescent="0.2">
      <c r="A28" s="36"/>
      <c r="F28" s="32"/>
      <c r="G28" s="23"/>
      <c r="H28" s="23"/>
      <c r="I28" s="24"/>
      <c r="J28" s="25"/>
    </row>
    <row r="29" spans="1:10" x14ac:dyDescent="0.2">
      <c r="A29" s="22"/>
      <c r="B29" s="23"/>
      <c r="C29" s="27"/>
      <c r="D29" s="23"/>
      <c r="E29" s="23"/>
      <c r="F29" s="23"/>
      <c r="G29" s="32"/>
      <c r="H29" s="32"/>
      <c r="I29" s="33"/>
      <c r="J29" s="25"/>
    </row>
    <row r="30" spans="1:10" x14ac:dyDescent="0.2">
      <c r="A30" s="22"/>
      <c r="B30" s="23"/>
      <c r="C30" s="27"/>
      <c r="D30" s="23"/>
      <c r="E30" s="23"/>
      <c r="F30" s="23"/>
      <c r="G30" s="23"/>
      <c r="H30" s="23"/>
      <c r="I30" s="24"/>
      <c r="J30" s="25"/>
    </row>
    <row r="31" spans="1:10" x14ac:dyDescent="0.2">
      <c r="A31" s="22"/>
      <c r="B31" s="23"/>
      <c r="C31" s="27"/>
      <c r="D31" s="23"/>
      <c r="E31" s="23"/>
      <c r="F31" s="23"/>
      <c r="G31" s="23"/>
      <c r="H31" s="23"/>
      <c r="I31" s="24"/>
      <c r="J31" s="25"/>
    </row>
    <row r="32" spans="1:10" x14ac:dyDescent="0.2">
      <c r="A32" s="22"/>
      <c r="B32" s="23"/>
      <c r="C32" s="27"/>
      <c r="D32" s="23"/>
      <c r="E32" s="23"/>
      <c r="F32" s="23"/>
      <c r="G32" s="23"/>
      <c r="H32" s="23"/>
      <c r="I32" s="24"/>
      <c r="J32" s="25"/>
    </row>
    <row r="33" spans="1:12" ht="13.5" thickBot="1" x14ac:dyDescent="0.25"/>
    <row r="34" spans="1:12" ht="13.5" thickBot="1" x14ac:dyDescent="0.25">
      <c r="A34" s="60" t="s">
        <v>10</v>
      </c>
      <c r="B34" s="61"/>
      <c r="C34" s="16"/>
      <c r="D34" s="17"/>
      <c r="E34" s="17"/>
      <c r="F34" s="18"/>
      <c r="G34" s="18"/>
      <c r="H34" s="18"/>
      <c r="I34" s="18"/>
      <c r="J34" s="18"/>
      <c r="K34" s="18"/>
      <c r="L34" s="18"/>
    </row>
    <row r="35" spans="1:12" x14ac:dyDescent="0.2">
      <c r="A35" s="5"/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5" t="str">
        <f>"if exists (select * from dbo.sysobjects where id = object_id(N'[dbo].["&amp;$B$1&amp;"]') and OBJECTPROPERTY(id, N'IsUserTable') = 1)"</f>
        <v>if exists (select * from dbo.sysobjects where id = object_id(N'[dbo].[Merchant_History]') and OBJECTPROPERTY(id, N'IsUserTable') = 1)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9" t="str">
        <f>"drop table [dbo].["&amp;$B$1&amp;"]"</f>
        <v>drop table [dbo].[Merchant_History]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 t="s">
        <v>11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/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 t="str">
        <f>"CREATE TABLE [dbo].["&amp;$B$1&amp;"] ("</f>
        <v>CREATE TABLE [dbo].[Merchant_History] (</v>
      </c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ref="B42:B47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[ten_bang] [varchar] (40)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[ma_gian_hang] [nvarchar] (20)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[gia_tri] [nvarchar] (MAX) NOT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[trang_thai] [bit] NOT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[ngay_tao] [datetime]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>[nguoi_tao] [nvarchar] (32) NULL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 t="s">
        <v>12</v>
      </c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 t="s">
        <v>11</v>
      </c>
      <c r="B49" s="5"/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/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 t="str">
        <f>"ALTER TABLE [dbo].["&amp;$B$1&amp;"] ADD"</f>
        <v>ALTER TABLE [dbo].[Merchant_History] ADD</v>
      </c>
      <c r="B51" s="5"/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/>
      <c r="B52" s="5" t="str">
        <f>"CONSTRAINT [PK_"&amp;$B$1&amp;"] PRIMARY KEY  CLUSTERED"</f>
        <v>CONSTRAINT [PK_Merchant_History] PRIMARY KEY  CLUSTERED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 t="s">
        <v>13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/>
      <c r="C54" s="5" t="str">
        <f>IF(D4=TRUE, "["&amp;A4&amp;"]"&amp;IF(D5="", "", ", "), "")</f>
        <v xml:space="preserve">[id], </v>
      </c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9"/>
      <c r="B55" s="5"/>
      <c r="C55" s="5" t="str">
        <f>IF(D5=TRUE, "["&amp;A5&amp;"]"&amp;IF(D6="", "", ", "), "")</f>
        <v xml:space="preserve">[ten_bang], </v>
      </c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9"/>
      <c r="B56" s="5"/>
      <c r="C56" s="5" t="str">
        <f>IF(D6=TRUE, "["&amp;A6&amp;"]"&amp;IF(D7="", "", ", "), "")</f>
        <v>[ma_gian_hang]</v>
      </c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/>
      <c r="B57" s="5" t="s">
        <v>14</v>
      </c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ht="13.5" thickBot="1" x14ac:dyDescent="0.25">
      <c r="A58" s="11" t="s">
        <v>11</v>
      </c>
      <c r="B58" s="12"/>
      <c r="C58" s="12"/>
      <c r="D58" s="12"/>
      <c r="E58" s="12"/>
      <c r="F58" s="13"/>
      <c r="G58" s="12"/>
      <c r="H58" s="12"/>
      <c r="I58" s="14"/>
      <c r="J58" s="14"/>
      <c r="K58" s="12"/>
      <c r="L58" s="15"/>
    </row>
    <row r="59" spans="1:12" x14ac:dyDescent="0.2">
      <c r="A59" s="2"/>
      <c r="B59" s="2"/>
      <c r="C59" s="2"/>
      <c r="D59" s="2"/>
      <c r="E59" s="2"/>
      <c r="F59" s="3"/>
      <c r="G59" s="2"/>
      <c r="H59" s="2"/>
      <c r="I59" s="4"/>
      <c r="J59" s="4"/>
      <c r="K59" s="2"/>
      <c r="L59" s="2"/>
    </row>
    <row r="60" spans="1:12" x14ac:dyDescent="0.2">
      <c r="C60" t="s">
        <v>44</v>
      </c>
    </row>
    <row r="61" spans="1:12" x14ac:dyDescent="0.2">
      <c r="A61" s="37" t="s">
        <v>45</v>
      </c>
      <c r="B61" s="37" t="str">
        <f>B1</f>
        <v>Merchant_History</v>
      </c>
      <c r="C61" s="37"/>
    </row>
    <row r="62" spans="1:12" x14ac:dyDescent="0.2">
      <c r="A62" s="37" t="s">
        <v>46</v>
      </c>
      <c r="B62" s="37"/>
      <c r="C62" s="37"/>
    </row>
    <row r="63" spans="1:12" x14ac:dyDescent="0.2">
      <c r="A63" s="37"/>
      <c r="B63" s="37" t="s">
        <v>47</v>
      </c>
      <c r="C63" s="37"/>
    </row>
    <row r="64" spans="1:12" x14ac:dyDescent="0.2">
      <c r="A64" s="37"/>
      <c r="B64" s="37" t="s">
        <v>48</v>
      </c>
      <c r="C64" s="37"/>
    </row>
    <row r="65" spans="1:3" x14ac:dyDescent="0.2">
      <c r="A65" s="37" t="s">
        <v>49</v>
      </c>
      <c r="B65" s="37" t="str">
        <f>IF(OR($B4="nvarchar",$B4="varchar"),"string",IF($B4="datetime","DateTime",$B4))</f>
        <v>int</v>
      </c>
      <c r="C65" s="37" t="str">
        <f>A4&amp;" "&amp;$C$60</f>
        <v>id  { get; set; }</v>
      </c>
    </row>
    <row r="66" spans="1:3" x14ac:dyDescent="0.2">
      <c r="A66" s="37" t="s">
        <v>49</v>
      </c>
      <c r="B66" s="37" t="str">
        <f t="shared" ref="B66:B71" si="1">IF(OR($B5="nvarchar",$B5="varchar"),"string",IF($B5="datetime","DateTime",$B5))</f>
        <v>string</v>
      </c>
      <c r="C66" s="37" t="str">
        <f t="shared" ref="C66:C71" si="2">A5&amp;" "&amp;$C$60</f>
        <v>ten_bang  { get; set; }</v>
      </c>
    </row>
    <row r="67" spans="1:3" x14ac:dyDescent="0.2">
      <c r="A67" s="37" t="s">
        <v>49</v>
      </c>
      <c r="B67" s="37" t="str">
        <f t="shared" si="1"/>
        <v>string</v>
      </c>
      <c r="C67" s="37" t="str">
        <f t="shared" si="2"/>
        <v>ma_gian_hang  { get; set; }</v>
      </c>
    </row>
    <row r="68" spans="1:3" x14ac:dyDescent="0.2">
      <c r="A68" s="37" t="s">
        <v>49</v>
      </c>
      <c r="B68" s="37" t="str">
        <f t="shared" si="1"/>
        <v>string</v>
      </c>
      <c r="C68" s="37" t="str">
        <f t="shared" si="2"/>
        <v>gia_tri  { get; set; }</v>
      </c>
    </row>
    <row r="69" spans="1:3" x14ac:dyDescent="0.2">
      <c r="A69" s="37" t="s">
        <v>49</v>
      </c>
      <c r="B69" s="37" t="str">
        <f t="shared" si="1"/>
        <v>bit</v>
      </c>
      <c r="C69" s="37" t="str">
        <f t="shared" si="2"/>
        <v>trang_thai  { get; set; }</v>
      </c>
    </row>
    <row r="70" spans="1:3" x14ac:dyDescent="0.2">
      <c r="A70" s="37" t="s">
        <v>49</v>
      </c>
      <c r="B70" s="37" t="str">
        <f t="shared" si="1"/>
        <v>DateTime</v>
      </c>
      <c r="C70" s="37" t="str">
        <f t="shared" si="2"/>
        <v>ngay_tao  { get; set; }</v>
      </c>
    </row>
    <row r="71" spans="1:3" x14ac:dyDescent="0.2">
      <c r="A71" s="37" t="s">
        <v>49</v>
      </c>
      <c r="B71" s="37" t="str">
        <f t="shared" si="1"/>
        <v>string</v>
      </c>
      <c r="C71" s="37" t="str">
        <f t="shared" si="2"/>
        <v>nguoi_tao  { get; set; }</v>
      </c>
    </row>
    <row r="72" spans="1:3" x14ac:dyDescent="0.2">
      <c r="A72" s="37" t="s">
        <v>50</v>
      </c>
      <c r="B72" s="37"/>
      <c r="C72" s="37" t="str">
        <f>IF($B34="nvarchar","("&amp;$C$5&amp;")",IF($B34="varchar","("&amp;$C34&amp;")",""))</f>
        <v/>
      </c>
    </row>
    <row r="74" spans="1:3" x14ac:dyDescent="0.2">
      <c r="A74" s="37" t="s">
        <v>72</v>
      </c>
    </row>
    <row r="75" spans="1:3" s="41" customFormat="1" x14ac:dyDescent="0.2">
      <c r="A75" s="40" t="str">
        <f>"DROP TABLE IF EXISTS "&amp;$B$1&amp;";"</f>
        <v>DROP TABLE IF EXISTS Merchant_History;</v>
      </c>
    </row>
    <row r="76" spans="1:3" s="41" customFormat="1" x14ac:dyDescent="0.2">
      <c r="A76" s="42" t="str">
        <f>"CREATE TABLE "&amp;$B$1&amp;"("</f>
        <v>CREATE TABLE Merchant_History(</v>
      </c>
    </row>
    <row r="77" spans="1:3" s="41" customFormat="1" x14ac:dyDescent="0.2">
      <c r="B77" s="41" t="str">
        <f t="shared" ref="B77:B83" si="3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78" spans="1:3" s="41" customFormat="1" x14ac:dyDescent="0.2">
      <c r="B78" s="41" t="str">
        <f t="shared" si="3"/>
        <v xml:space="preserve">ten_bang varchar(40) NOT NULL, </v>
      </c>
    </row>
    <row r="79" spans="1:3" s="41" customFormat="1" x14ac:dyDescent="0.2">
      <c r="B79" s="41" t="str">
        <f t="shared" si="3"/>
        <v xml:space="preserve">ma_gian_hang nvarchar(20) NOT NULL, </v>
      </c>
    </row>
    <row r="80" spans="1:3" s="41" customFormat="1" x14ac:dyDescent="0.2">
      <c r="B80" s="41" t="str">
        <f t="shared" si="3"/>
        <v xml:space="preserve">gia_tri nvarchar(MAX) NOT NULL, </v>
      </c>
    </row>
    <row r="81" spans="1:2" s="41" customFormat="1" x14ac:dyDescent="0.2">
      <c r="B81" s="41" t="str">
        <f t="shared" si="3"/>
        <v xml:space="preserve">trang_thai bit NOT NULL, </v>
      </c>
    </row>
    <row r="82" spans="1:2" s="41" customFormat="1" x14ac:dyDescent="0.2">
      <c r="B82" s="41" t="str">
        <f t="shared" si="3"/>
        <v xml:space="preserve">ngay_tao datetime NULL, </v>
      </c>
    </row>
    <row r="83" spans="1:2" s="41" customFormat="1" x14ac:dyDescent="0.2">
      <c r="B83" s="41" t="str">
        <f t="shared" si="3"/>
        <v>nguoi_tao nvarchar(32) NULL</v>
      </c>
    </row>
    <row r="84" spans="1:2" s="41" customFormat="1" x14ac:dyDescent="0.2">
      <c r="A84" s="41" t="s">
        <v>74</v>
      </c>
    </row>
    <row r="85" spans="1:2" s="41" customFormat="1" x14ac:dyDescent="0.2">
      <c r="B85" s="5" t="str">
        <f>IF(D4=TRUE, A4&amp;IF(D5="", "", ", "), "")</f>
        <v xml:space="preserve">id, </v>
      </c>
    </row>
    <row r="86" spans="1:2" s="41" customFormat="1" x14ac:dyDescent="0.2">
      <c r="B86" s="5" t="str">
        <f t="shared" ref="B86:B87" si="4">IF(D5=TRUE, A5&amp;IF(D6="", "", ", "), "")</f>
        <v xml:space="preserve">ten_bang, </v>
      </c>
    </row>
    <row r="87" spans="1:2" s="41" customFormat="1" x14ac:dyDescent="0.2">
      <c r="B87" s="5" t="str">
        <f t="shared" si="4"/>
        <v>ma_gian_hang</v>
      </c>
    </row>
    <row r="88" spans="1:2" s="41" customFormat="1" x14ac:dyDescent="0.2">
      <c r="B88" s="41" t="s">
        <v>75</v>
      </c>
    </row>
    <row r="89" spans="1:2" s="41" customFormat="1" x14ac:dyDescent="0.2">
      <c r="A89" s="41" t="s">
        <v>73</v>
      </c>
    </row>
    <row r="90" spans="1:2" s="41" customFormat="1" x14ac:dyDescent="0.2"/>
    <row r="91" spans="1:2" s="41" customFormat="1" x14ac:dyDescent="0.2"/>
    <row r="92" spans="1:2" s="41" customFormat="1" x14ac:dyDescent="0.2"/>
    <row r="93" spans="1:2" s="41" customFormat="1" x14ac:dyDescent="0.2"/>
  </sheetData>
  <mergeCells count="1">
    <mergeCell ref="A34:B34"/>
  </mergeCells>
  <hyperlinks>
    <hyperlink ref="D1" location="'Sheet List'!A1" display="back to list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0"/>
  <sheetViews>
    <sheetView workbookViewId="0">
      <selection activeCell="A15" sqref="A15:I16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126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123</v>
      </c>
      <c r="B5" s="23" t="s">
        <v>7</v>
      </c>
      <c r="C5" s="27">
        <v>15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26</v>
      </c>
      <c r="B6" s="23" t="s">
        <v>20</v>
      </c>
      <c r="C6" s="27">
        <v>15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124</v>
      </c>
      <c r="B7" s="23" t="s">
        <v>20</v>
      </c>
      <c r="C7" s="27">
        <v>50</v>
      </c>
      <c r="D7" s="23"/>
      <c r="E7" s="23"/>
      <c r="F7" s="23"/>
      <c r="G7" s="23"/>
      <c r="H7" s="23"/>
      <c r="I7" s="24"/>
      <c r="J7" s="25"/>
    </row>
    <row r="8" spans="1:10" x14ac:dyDescent="0.2">
      <c r="A8" s="22" t="s">
        <v>125</v>
      </c>
      <c r="B8" s="23" t="s">
        <v>20</v>
      </c>
      <c r="C8" s="27">
        <v>20</v>
      </c>
      <c r="D8" s="23"/>
      <c r="E8" s="23"/>
      <c r="F8" s="23"/>
      <c r="G8" s="23"/>
      <c r="H8" s="23"/>
      <c r="I8" s="24" t="s">
        <v>82</v>
      </c>
      <c r="J8" s="25"/>
    </row>
    <row r="9" spans="1:10" x14ac:dyDescent="0.2">
      <c r="A9" s="22" t="s">
        <v>105</v>
      </c>
      <c r="B9" s="23" t="s">
        <v>7</v>
      </c>
      <c r="C9" s="27">
        <v>50</v>
      </c>
      <c r="D9" s="23"/>
      <c r="E9" s="23"/>
      <c r="F9" s="23"/>
      <c r="G9" s="23"/>
      <c r="H9" s="23"/>
      <c r="I9" s="24"/>
      <c r="J9" s="25"/>
    </row>
    <row r="10" spans="1:10" x14ac:dyDescent="0.2">
      <c r="A10" s="22" t="s">
        <v>93</v>
      </c>
      <c r="B10" s="23" t="s">
        <v>7</v>
      </c>
      <c r="C10" s="27">
        <v>20</v>
      </c>
      <c r="D10" s="23"/>
      <c r="E10" s="23"/>
      <c r="F10" s="23"/>
      <c r="G10" s="23"/>
      <c r="H10" s="23"/>
      <c r="I10" s="24"/>
      <c r="J10" s="25"/>
    </row>
    <row r="11" spans="1:10" x14ac:dyDescent="0.2">
      <c r="A11" s="22" t="s">
        <v>92</v>
      </c>
      <c r="B11" s="23" t="s">
        <v>20</v>
      </c>
      <c r="C11" s="27">
        <v>50</v>
      </c>
      <c r="D11" s="23"/>
      <c r="E11" s="23"/>
      <c r="F11" s="23"/>
      <c r="G11" s="23"/>
      <c r="H11" s="23"/>
      <c r="I11" s="24"/>
      <c r="J11" s="25"/>
    </row>
    <row r="12" spans="1:10" x14ac:dyDescent="0.2">
      <c r="A12" s="22" t="s">
        <v>51</v>
      </c>
      <c r="B12" s="23" t="s">
        <v>86</v>
      </c>
      <c r="C12" s="27"/>
      <c r="D12" s="23"/>
      <c r="E12" s="23"/>
      <c r="F12" s="23"/>
      <c r="G12" s="23"/>
      <c r="H12" s="23"/>
      <c r="I12" s="24" t="s">
        <v>87</v>
      </c>
      <c r="J12" s="25"/>
    </row>
    <row r="13" spans="1:10" x14ac:dyDescent="0.2">
      <c r="A13" s="22" t="s">
        <v>21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22" t="s">
        <v>22</v>
      </c>
      <c r="B14" s="23" t="s">
        <v>20</v>
      </c>
      <c r="C14" s="27">
        <v>32</v>
      </c>
      <c r="D14" s="23"/>
      <c r="E14" s="23"/>
      <c r="F14" s="23" t="b">
        <v>1</v>
      </c>
      <c r="G14" s="23"/>
      <c r="H14" s="23"/>
      <c r="I14" s="24"/>
      <c r="J14" s="25"/>
    </row>
    <row r="15" spans="1:10" x14ac:dyDescent="0.2">
      <c r="A15" s="22" t="s">
        <v>23</v>
      </c>
      <c r="B15" s="23" t="s">
        <v>9</v>
      </c>
      <c r="C15" s="27"/>
      <c r="D15" s="23"/>
      <c r="E15" s="23"/>
      <c r="F15" s="23" t="b">
        <v>1</v>
      </c>
      <c r="G15" s="23"/>
      <c r="H15" s="23"/>
      <c r="I15" s="24"/>
      <c r="J15" s="25"/>
    </row>
    <row r="16" spans="1:10" x14ac:dyDescent="0.2">
      <c r="A16" s="22" t="s">
        <v>24</v>
      </c>
      <c r="B16" s="23" t="s">
        <v>20</v>
      </c>
      <c r="C16" s="27">
        <v>32</v>
      </c>
      <c r="D16" s="23"/>
      <c r="E16" s="23"/>
      <c r="F16" s="23" t="b">
        <v>1</v>
      </c>
      <c r="G16" s="23"/>
      <c r="H16" s="23"/>
      <c r="I16" s="24"/>
      <c r="J16" s="25"/>
    </row>
    <row r="17" spans="1:12" ht="13.5" thickBot="1" x14ac:dyDescent="0.25"/>
    <row r="18" spans="1:12" ht="13.5" thickBot="1" x14ac:dyDescent="0.25">
      <c r="A18" s="60" t="s">
        <v>10</v>
      </c>
      <c r="B18" s="61"/>
      <c r="C18" s="16"/>
      <c r="D18" s="17"/>
      <c r="E18" s="17"/>
      <c r="F18" s="18"/>
      <c r="G18" s="18"/>
      <c r="H18" s="18"/>
      <c r="I18" s="18"/>
      <c r="J18" s="18"/>
      <c r="K18" s="18"/>
      <c r="L18" s="18"/>
    </row>
    <row r="19" spans="1:12" x14ac:dyDescent="0.2">
      <c r="A19" s="5"/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5" t="str">
        <f>"if exists (select * from dbo.sysobjects where id = object_id(N'[dbo].["&amp;$B$1&amp;"]') and OBJECTPROPERTY(id, N'IsUserTable') = 1)"</f>
        <v>if exists (select * from dbo.sysobjects where id = object_id(N'[dbo].[Merchant_Promotion]') and OBJECTPROPERTY(id, N'IsUserTable') = 1)</v>
      </c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9" t="str">
        <f>"drop table [dbo].["&amp;$B$1&amp;"]"</f>
        <v>drop table [dbo].[Merchant_Promotion]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9" t="s">
        <v>11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/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10" t="str">
        <f>"CREATE TABLE [dbo].["&amp;$B$1&amp;"] ("</f>
        <v>CREATE TABLE [dbo].[Merchant_Promotion] (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/>
      <c r="B25" s="5" t="str">
        <f t="shared" ref="B25:B32" si="0"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 t="shared" si="0"/>
        <v xml:space="preserve">[ma_chuong_trinh_km] [varchar] (15)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si="0"/>
        <v xml:space="preserve">[ma_gian_hang] [nvarchar] (15)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[ten_chuong_trinh_km] [nvarchar]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[loai] [nvarchar] (20)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[gia_tri] [varchar] (50)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[ngay_bat_dau] [varchar] (20)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[ngay_ket_thuc] [nvarchar] (50)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e">
        <f>"["&amp;A12&amp;"] ["&amp;B12&amp;"]"&amp;IF(H12=TRUE, " IDENTITY (1,1)","")&amp;IF(AND(B12&lt;&gt;"int",B12&lt;&gt;"bigint",B12&lt;&gt;"bit",B12&lt;&gt;"float",B12&lt;&gt;"datetime",B12&lt;&gt;"smalldatetime",B12&lt;&gt;"timestamp",B12&lt;&gt;"xml")," ("&amp;C12&amp;") "," ")&amp;""&amp;IF(F12=FALSE,"NOT NULL","NULL")&amp;IF(G12&lt;&gt;""," DEFAULT ("&amp;G12&amp;")","")&amp;IF(#REF!&lt;&gt;"",", ", "")</f>
        <v>#REF!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e">
        <f>"["&amp;#REF!&amp;"] ["&amp;#REF!&amp;"]"&amp;IF(#REF!=TRUE, " IDENTITY (1,1)","")&amp;IF(AND(#REF!&lt;&gt;"int",#REF!&lt;&gt;"bigint",#REF!&lt;&gt;"bit",#REF!&lt;&gt;"float",#REF!&lt;&gt;"datetime",#REF!&lt;&gt;"smalldatetime",#REF!&lt;&gt;"timestamp",#REF!&lt;&gt;"xml")," ("&amp;#REF!&amp;") "," ")&amp;""&amp;IF(#REF!=FALSE,"NOT NULL","NULL")&amp;IF(#REF!&lt;&gt;""," DEFAULT ("&amp;#REF!&amp;")","")&amp;IF(A13&lt;&gt;"",", ", "")</f>
        <v>#REF!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>"["&amp;A13&amp;"] ["&amp;B13&amp;"]"&amp;IF(H13=TRUE, " IDENTITY (1,1)","")&amp;IF(AND(B13&lt;&gt;"int",B13&lt;&gt;"bigint",B13&lt;&gt;"bit",B13&lt;&gt;"float",B13&lt;&gt;"datetime",B13&lt;&gt;"smalldatetime",B13&lt;&gt;"timestamp",B13&lt;&gt;"xml")," ("&amp;C13&amp;") "," ")&amp;""&amp;IF(F13=FALSE,"NOT NULL","NULL")&amp;IF(G13&lt;&gt;""," DEFAULT ("&amp;G13&amp;")","")&amp;IF(A14&lt;&gt;"",", ", "")</f>
        <v xml:space="preserve">[ngay_tao] [datetime]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>"["&amp;A14&amp;"] ["&amp;B14&amp;"]"&amp;IF(H14=TRUE, " IDENTITY (1,1)","")&amp;IF(AND(B14&lt;&gt;"int",B14&lt;&gt;"bigint",B14&lt;&gt;"bit",B14&lt;&gt;"float",B14&lt;&gt;"datetime",B14&lt;&gt;"smalldatetime",B14&lt;&gt;"timestamp",B14&lt;&gt;"xml")," ("&amp;C14&amp;") "," ")&amp;""&amp;IF(F14=FALSE,"NOT NULL","NULL")&amp;IF(G14&lt;&gt;""," DEFAULT ("&amp;G14&amp;")","")&amp;IF(A15&lt;&gt;"",", ", "")</f>
        <v xml:space="preserve">[nguoi_tao] [nvarchar] (32)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>"["&amp;A15&amp;"] ["&amp;B15&amp;"]"&amp;IF(H15=TRUE, " IDENTITY (1,1)","")&amp;IF(AND(B15&lt;&gt;"int",B15&lt;&gt;"bigint",B15&lt;&gt;"bit",B15&lt;&gt;"float",B15&lt;&gt;"datetime",B15&lt;&gt;"smalldatetime",B15&lt;&gt;"timestamp",B15&lt;&gt;"xml")," ("&amp;C15&amp;") "," ")&amp;""&amp;IF(F15=FALSE,"NOT NULL","NULL")&amp;IF(G15&lt;&gt;""," DEFAULT ("&amp;G15&amp;")","")&amp;IF(A16&lt;&gt;"",", ", "")</f>
        <v xml:space="preserve">[ngay_cap_nhat] [datetime]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>"["&amp;A16&amp;"] ["&amp;B16&amp;"]"&amp;IF(H16=TRUE, " IDENTITY (1,1)","")&amp;IF(AND(B16&lt;&gt;"int",B16&lt;&gt;"bigint",B16&lt;&gt;"bit",B16&lt;&gt;"float",B16&lt;&gt;"datetime",B16&lt;&gt;"smalldatetime",B16&lt;&gt;"timestamp",B16&lt;&gt;"xml")," ("&amp;C16&amp;") "," ")&amp;""&amp;IF(F16=FALSE,"NOT NULL","NULL")&amp;IF(G16&lt;&gt;""," DEFAULT ("&amp;G16&amp;")","")&amp;IF(A17&lt;&gt;"",", ", "")</f>
        <v>[nguoi_cap_nhat] [nvarchar] (32) NULL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 t="s">
        <v>12</v>
      </c>
      <c r="B39" s="5"/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 t="s">
        <v>11</v>
      </c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/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 t="str">
        <f>"ALTER TABLE [dbo].["&amp;$B$1&amp;"] ADD"</f>
        <v>ALTER TABLE [dbo].[Merchant_Promotion] ADD</v>
      </c>
      <c r="B42" s="5"/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/>
      <c r="B43" s="5" t="str">
        <f>"CONSTRAINT [PK_"&amp;$B$1&amp;"] PRIMARY KEY  CLUSTERED"</f>
        <v>CONSTRAINT [PK_Merchant_Promotion] PRIMARY KEY  CLUSTERED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/>
      <c r="B44" s="5" t="s">
        <v>13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/>
      <c r="C45" s="5" t="str">
        <f>IF(D4=TRUE, "["&amp;A4&amp;"]"&amp;IF(D5="", "", ", "), "")</f>
        <v xml:space="preserve">[id], </v>
      </c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/>
      <c r="B46" s="5"/>
      <c r="C46" s="5" t="str">
        <f>IF(D5=TRUE, "["&amp;A5&amp;"]"&amp;IF(D6="", "", ", "), "")</f>
        <v>[ma_chuong_trinh_km]</v>
      </c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/>
      <c r="C47" s="5" t="str">
        <f>IF(D6=TRUE, "["&amp;A6&amp;"]"&amp;IF(D7="", "", ", "), "")</f>
        <v/>
      </c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/>
      <c r="B48" s="5" t="s">
        <v>14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ht="13.5" thickBot="1" x14ac:dyDescent="0.25">
      <c r="A49" s="11" t="s">
        <v>11</v>
      </c>
      <c r="B49" s="12"/>
      <c r="C49" s="12"/>
      <c r="D49" s="12"/>
      <c r="E49" s="12"/>
      <c r="F49" s="13"/>
      <c r="G49" s="12"/>
      <c r="H49" s="12"/>
      <c r="I49" s="14"/>
      <c r="J49" s="14"/>
      <c r="K49" s="12"/>
      <c r="L49" s="15"/>
    </row>
    <row r="50" spans="1:12" x14ac:dyDescent="0.2">
      <c r="A50" s="2"/>
      <c r="B50" s="2"/>
      <c r="C50" s="2"/>
      <c r="D50" s="2"/>
      <c r="E50" s="2"/>
      <c r="F50" s="3"/>
      <c r="G50" s="2"/>
      <c r="H50" s="2"/>
      <c r="I50" s="4"/>
      <c r="J50" s="4"/>
      <c r="K50" s="2"/>
      <c r="L50" s="2"/>
    </row>
    <row r="51" spans="1:12" x14ac:dyDescent="0.2">
      <c r="C51" t="s">
        <v>44</v>
      </c>
    </row>
    <row r="55" spans="1:12" x14ac:dyDescent="0.2">
      <c r="A55" s="37" t="s">
        <v>45</v>
      </c>
      <c r="B55" s="37" t="str">
        <f>B1</f>
        <v>Merchant_Promotion</v>
      </c>
      <c r="C55" s="37"/>
    </row>
    <row r="56" spans="1:12" x14ac:dyDescent="0.2">
      <c r="A56" s="37" t="s">
        <v>46</v>
      </c>
      <c r="B56" s="37"/>
      <c r="C56" s="37"/>
    </row>
    <row r="57" spans="1:12" x14ac:dyDescent="0.2">
      <c r="A57" s="37"/>
      <c r="B57" s="37" t="s">
        <v>47</v>
      </c>
      <c r="C57" s="37"/>
    </row>
    <row r="58" spans="1:12" x14ac:dyDescent="0.2">
      <c r="A58" s="37"/>
      <c r="B58" s="37" t="s">
        <v>48</v>
      </c>
      <c r="C58" s="37"/>
    </row>
    <row r="59" spans="1:12" x14ac:dyDescent="0.2">
      <c r="A59" s="37" t="s">
        <v>49</v>
      </c>
      <c r="B59" s="37" t="str">
        <f t="shared" ref="B59:B67" si="1">IF(OR($B4="nvarchar",$B4="varchar"),"string",IF($B4="datetime","DateTime",$B4))</f>
        <v>int</v>
      </c>
      <c r="C59" s="37" t="str">
        <f t="shared" ref="C59:C67" si="2">A4&amp;" "&amp;$C$51</f>
        <v>id  { get; set; }</v>
      </c>
    </row>
    <row r="60" spans="1:12" x14ac:dyDescent="0.2">
      <c r="A60" s="37" t="s">
        <v>49</v>
      </c>
      <c r="B60" s="37" t="str">
        <f t="shared" si="1"/>
        <v>string</v>
      </c>
      <c r="C60" s="37" t="str">
        <f t="shared" si="2"/>
        <v>ma_chuong_trinh_km  { get; set; }</v>
      </c>
    </row>
    <row r="61" spans="1:12" x14ac:dyDescent="0.2">
      <c r="A61" s="37" t="s">
        <v>49</v>
      </c>
      <c r="B61" s="37" t="str">
        <f t="shared" si="1"/>
        <v>string</v>
      </c>
      <c r="C61" s="37" t="str">
        <f t="shared" si="2"/>
        <v>ma_gian_hang  { get; set; }</v>
      </c>
    </row>
    <row r="62" spans="1:12" x14ac:dyDescent="0.2">
      <c r="A62" s="37" t="s">
        <v>49</v>
      </c>
      <c r="B62" s="37" t="str">
        <f t="shared" si="1"/>
        <v>string</v>
      </c>
      <c r="C62" s="37" t="str">
        <f t="shared" si="2"/>
        <v>ten_chuong_trinh_km  { get; set; }</v>
      </c>
    </row>
    <row r="63" spans="1:12" x14ac:dyDescent="0.2">
      <c r="A63" s="37" t="s">
        <v>49</v>
      </c>
      <c r="B63" s="37" t="str">
        <f t="shared" si="1"/>
        <v>string</v>
      </c>
      <c r="C63" s="37" t="str">
        <f t="shared" si="2"/>
        <v>loai  { get; set; }</v>
      </c>
    </row>
    <row r="64" spans="1:12" x14ac:dyDescent="0.2">
      <c r="A64" s="37" t="s">
        <v>49</v>
      </c>
      <c r="B64" s="37" t="str">
        <f t="shared" si="1"/>
        <v>string</v>
      </c>
      <c r="C64" s="37" t="str">
        <f t="shared" si="2"/>
        <v>gia_tri  { get; set; }</v>
      </c>
    </row>
    <row r="65" spans="1:3" x14ac:dyDescent="0.2">
      <c r="A65" s="37" t="s">
        <v>49</v>
      </c>
      <c r="B65" s="37" t="str">
        <f t="shared" si="1"/>
        <v>string</v>
      </c>
      <c r="C65" s="37" t="str">
        <f t="shared" si="2"/>
        <v>ngay_bat_dau  { get; set; }</v>
      </c>
    </row>
    <row r="66" spans="1:3" x14ac:dyDescent="0.2">
      <c r="A66" s="37" t="s">
        <v>49</v>
      </c>
      <c r="B66" s="37" t="str">
        <f t="shared" si="1"/>
        <v>string</v>
      </c>
      <c r="C66" s="37" t="str">
        <f t="shared" si="2"/>
        <v>ngay_ket_thuc  { get; set; }</v>
      </c>
    </row>
    <row r="67" spans="1:3" x14ac:dyDescent="0.2">
      <c r="A67" s="37" t="s">
        <v>49</v>
      </c>
      <c r="B67" s="37" t="str">
        <f t="shared" si="1"/>
        <v>bit</v>
      </c>
      <c r="C67" s="37" t="str">
        <f t="shared" si="2"/>
        <v>trang_thai  { get; set; }</v>
      </c>
    </row>
    <row r="68" spans="1:3" x14ac:dyDescent="0.2">
      <c r="A68" s="37" t="s">
        <v>49</v>
      </c>
      <c r="B68" s="37" t="e">
        <f>IF(OR(#REF!="nvarchar",#REF!="varchar"),"string",IF(#REF!="datetime","DateTime",#REF!))</f>
        <v>#REF!</v>
      </c>
      <c r="C68" s="37" t="e">
        <f>#REF!&amp;" "&amp;$C$51</f>
        <v>#REF!</v>
      </c>
    </row>
    <row r="69" spans="1:3" x14ac:dyDescent="0.2">
      <c r="A69" s="37" t="s">
        <v>49</v>
      </c>
      <c r="B69" s="37" t="str">
        <f>IF(OR($B13="nvarchar",$B13="varchar"),"string",IF($B13="datetime","DateTime",$B13))</f>
        <v>DateTime</v>
      </c>
      <c r="C69" s="37" t="str">
        <f>A13&amp;" "&amp;$C$51</f>
        <v>ngay_tao  { get; set; }</v>
      </c>
    </row>
    <row r="70" spans="1:3" x14ac:dyDescent="0.2">
      <c r="A70" s="37" t="s">
        <v>49</v>
      </c>
      <c r="B70" s="37" t="str">
        <f>IF(OR($B14="nvarchar",$B14="varchar"),"string",IF($B14="datetime","DateTime",$B14))</f>
        <v>string</v>
      </c>
      <c r="C70" s="37" t="str">
        <f>A14&amp;" "&amp;$C$51</f>
        <v>nguoi_tao  { get; set; }</v>
      </c>
    </row>
    <row r="71" spans="1:3" x14ac:dyDescent="0.2">
      <c r="A71" s="37" t="s">
        <v>49</v>
      </c>
      <c r="B71" s="37" t="str">
        <f>IF(OR($B15="nvarchar",$B15="varchar"),"string",IF($B15="datetime","DateTime",$B15))</f>
        <v>DateTime</v>
      </c>
      <c r="C71" s="37" t="str">
        <f>A15&amp;" "&amp;$C$51</f>
        <v>ngay_cap_nhat  { get; set; }</v>
      </c>
    </row>
    <row r="72" spans="1:3" x14ac:dyDescent="0.2">
      <c r="A72" s="37" t="s">
        <v>49</v>
      </c>
      <c r="B72" s="37" t="str">
        <f>IF(OR($B16="nvarchar",$B16="varchar"),"string",IF($B16="datetime","DateTime",$B16))</f>
        <v>string</v>
      </c>
      <c r="C72" s="37" t="str">
        <f>A16&amp;" "&amp;$C$51</f>
        <v>nguoi_cap_nhat  { get; set; }</v>
      </c>
    </row>
    <row r="73" spans="1:3" x14ac:dyDescent="0.2">
      <c r="A73" s="37" t="s">
        <v>50</v>
      </c>
      <c r="B73" s="37"/>
      <c r="C73" s="37" t="str">
        <f>IF($B18="nvarchar","("&amp;$C$5&amp;")",IF($B18="varchar","("&amp;$C18&amp;")",""))</f>
        <v/>
      </c>
    </row>
    <row r="75" spans="1:3" x14ac:dyDescent="0.2">
      <c r="A75" s="37" t="s">
        <v>72</v>
      </c>
    </row>
    <row r="76" spans="1:3" s="41" customFormat="1" x14ac:dyDescent="0.2">
      <c r="A76" s="40" t="str">
        <f>"DROP TABLE IF EXISTS "&amp;$B$1&amp;"s;"</f>
        <v>DROP TABLE IF EXISTS Merchant_Promotions;</v>
      </c>
    </row>
    <row r="77" spans="1:3" s="41" customFormat="1" x14ac:dyDescent="0.2">
      <c r="A77" s="42" t="str">
        <f>"CREATE TABLE "&amp;$B$1&amp;"("</f>
        <v>CREATE TABLE Merchant_Promotion(</v>
      </c>
    </row>
    <row r="78" spans="1:3" s="41" customFormat="1" x14ac:dyDescent="0.2">
      <c r="B78" s="41" t="str">
        <f t="shared" ref="B78:B85" si="3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79" spans="1:3" s="41" customFormat="1" x14ac:dyDescent="0.2">
      <c r="B79" s="41" t="str">
        <f t="shared" si="3"/>
        <v xml:space="preserve">ma_chuong_trinh_km varchar(15) NOT NULL, </v>
      </c>
    </row>
    <row r="80" spans="1:3" s="41" customFormat="1" x14ac:dyDescent="0.2">
      <c r="B80" s="41" t="str">
        <f t="shared" si="3"/>
        <v xml:space="preserve">ma_gian_hang nvarchar(15) NOT NULL, </v>
      </c>
    </row>
    <row r="81" spans="1:2" s="41" customFormat="1" x14ac:dyDescent="0.2">
      <c r="B81" s="41" t="str">
        <f t="shared" si="3"/>
        <v xml:space="preserve">ten_chuong_trinh_km nvarchar(50) NOT NULL, </v>
      </c>
    </row>
    <row r="82" spans="1:2" s="41" customFormat="1" x14ac:dyDescent="0.2">
      <c r="B82" s="41" t="str">
        <f t="shared" si="3"/>
        <v xml:space="preserve">loai nvarchar(20) NOT NULL, </v>
      </c>
    </row>
    <row r="83" spans="1:2" s="41" customFormat="1" x14ac:dyDescent="0.2">
      <c r="B83" s="41" t="str">
        <f t="shared" si="3"/>
        <v xml:space="preserve">gia_tri varchar(50) NOT NULL, </v>
      </c>
    </row>
    <row r="84" spans="1:2" s="41" customFormat="1" x14ac:dyDescent="0.2">
      <c r="B84" s="41" t="str">
        <f t="shared" si="3"/>
        <v xml:space="preserve">ngay_bat_dau varchar(20) NOT NULL, </v>
      </c>
    </row>
    <row r="85" spans="1:2" s="41" customFormat="1" x14ac:dyDescent="0.2">
      <c r="B85" s="41" t="str">
        <f t="shared" si="3"/>
        <v xml:space="preserve">ngay_ket_thuc nvarchar(50) NOT NULL, </v>
      </c>
    </row>
    <row r="86" spans="1:2" s="41" customFormat="1" x14ac:dyDescent="0.2">
      <c r="B86" s="41" t="e">
        <f>A12&amp;" "&amp;B12&amp;IF(AND(B12&lt;&gt;"int",B12&lt;&gt;"bigint",B12&lt;&gt;"bit",B12&lt;&gt;"float",B12&lt;&gt;"datetime",B12&lt;&gt;"smalldatetime",B12&lt;&gt;"timestamp",B12&lt;&gt;"xml"),"("&amp;C12&amp;") "," ")&amp;""&amp;IF(F12=FALSE,"NOT NULL","NULL")&amp;IF(G12&lt;&gt;""," DEFAULT ("&amp;G12&amp;")","")&amp;IF(H12=TRUE," AUTO_INCREMENT","")&amp;IF(#REF!&lt;&gt;"",", ","")</f>
        <v>#REF!</v>
      </c>
    </row>
    <row r="87" spans="1:2" s="41" customFormat="1" x14ac:dyDescent="0.2">
      <c r="B87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AUTO_INCREMENT","")&amp;IF(A13&lt;&gt;"",", ","")</f>
        <v>#REF!</v>
      </c>
    </row>
    <row r="88" spans="1:2" s="41" customFormat="1" x14ac:dyDescent="0.2">
      <c r="B88" s="41" t="str">
        <f>A13&amp;" "&amp;B13&amp;IF(AND(B13&lt;&gt;"int",B13&lt;&gt;"bigint",B13&lt;&gt;"bit",B13&lt;&gt;"float",B13&lt;&gt;"datetime",B13&lt;&gt;"smalldatetime",B13&lt;&gt;"timestamp",B13&lt;&gt;"xml"),"("&amp;C13&amp;") "," ")&amp;""&amp;IF(F13=FALSE,"NOT NULL","NULL")&amp;IF(G13&lt;&gt;""," DEFAULT ("&amp;G13&amp;")","")&amp;IF(H13=TRUE," AUTO_INCREMENT","")&amp;IF(A14&lt;&gt;"",", ","")</f>
        <v xml:space="preserve">ngay_tao datetime NULL, </v>
      </c>
    </row>
    <row r="89" spans="1:2" s="41" customFormat="1" x14ac:dyDescent="0.2">
      <c r="B89" s="41" t="str">
        <f>A14&amp;" "&amp;B14&amp;IF(AND(B14&lt;&gt;"int",B14&lt;&gt;"bigint",B14&lt;&gt;"bit",B14&lt;&gt;"float",B14&lt;&gt;"datetime",B14&lt;&gt;"smalldatetime",B14&lt;&gt;"timestamp",B14&lt;&gt;"xml"),"("&amp;C14&amp;") "," ")&amp;""&amp;IF(F14=FALSE,"NOT NULL","NULL")&amp;IF(G14&lt;&gt;""," DEFAULT ("&amp;G14&amp;")","")&amp;IF(H14=TRUE," AUTO_INCREMENT","")&amp;IF(A15&lt;&gt;"",", ","")</f>
        <v xml:space="preserve">nguoi_tao nvarchar(32) NULL, </v>
      </c>
    </row>
    <row r="90" spans="1:2" s="41" customFormat="1" x14ac:dyDescent="0.2">
      <c r="B90" s="41" t="str">
        <f>A15&amp;" "&amp;B15&amp;IF(AND(B15&lt;&gt;"int",B15&lt;&gt;"bigint",B15&lt;&gt;"bit",B15&lt;&gt;"float",B15&lt;&gt;"datetime",B15&lt;&gt;"smalldatetime",B15&lt;&gt;"timestamp",B15&lt;&gt;"xml"),"("&amp;C15&amp;") "," ")&amp;""&amp;IF(F15=FALSE,"NOT NULL","NULL")&amp;IF(G15&lt;&gt;""," DEFAULT ("&amp;G15&amp;")","")&amp;IF(H15=TRUE," AUTO_INCREMENT","")&amp;IF(A16&lt;&gt;"",", ","")</f>
        <v xml:space="preserve">ngay_cap_nhat datetime NULL, </v>
      </c>
    </row>
    <row r="91" spans="1:2" s="41" customFormat="1" x14ac:dyDescent="0.2">
      <c r="B91" s="41" t="str">
        <f>A16&amp;" "&amp;B16&amp;IF(AND(B16&lt;&gt;"int",B16&lt;&gt;"bigint",B16&lt;&gt;"bit",B16&lt;&gt;"float",B16&lt;&gt;"datetime",B16&lt;&gt;"smalldatetime",B16&lt;&gt;"timestamp",B16&lt;&gt;"xml"),"("&amp;C16&amp;") "," ")&amp;""&amp;IF(F16=FALSE,"NOT NULL","NULL")&amp;IF(G16&lt;&gt;""," DEFAULT ("&amp;G16&amp;")","")&amp;IF(H16=TRUE," AUTO_INCREMENT","")&amp;IF(A17&lt;&gt;"",", ","")</f>
        <v>nguoi_cap_nhat nvarchar(32) NULL</v>
      </c>
    </row>
    <row r="92" spans="1:2" s="41" customFormat="1" x14ac:dyDescent="0.2">
      <c r="A92" s="41" t="s">
        <v>74</v>
      </c>
    </row>
    <row r="93" spans="1:2" s="41" customFormat="1" x14ac:dyDescent="0.2">
      <c r="B93" s="5" t="str">
        <f>IF(D4=TRUE, A4&amp;IF(D5="", "", ", "), "")</f>
        <v xml:space="preserve">id, </v>
      </c>
    </row>
    <row r="94" spans="1:2" s="41" customFormat="1" x14ac:dyDescent="0.2">
      <c r="B94" s="5" t="str">
        <f>IF(D5=TRUE, A5&amp;IF(D6="", "", ", "), "")</f>
        <v>ma_chuong_trinh_km</v>
      </c>
    </row>
    <row r="95" spans="1:2" s="41" customFormat="1" x14ac:dyDescent="0.2">
      <c r="B95" s="41" t="s">
        <v>75</v>
      </c>
    </row>
    <row r="96" spans="1:2" s="41" customFormat="1" x14ac:dyDescent="0.2">
      <c r="A96" s="41" t="s">
        <v>73</v>
      </c>
    </row>
    <row r="97" s="41" customFormat="1" x14ac:dyDescent="0.2"/>
    <row r="98" s="41" customFormat="1" x14ac:dyDescent="0.2"/>
    <row r="99" s="41" customFormat="1" x14ac:dyDescent="0.2"/>
    <row r="100" s="41" customFormat="1" x14ac:dyDescent="0.2"/>
  </sheetData>
  <mergeCells count="1">
    <mergeCell ref="A18:B18"/>
  </mergeCells>
  <hyperlinks>
    <hyperlink ref="D1" location="'Sheet List'!A1" display="back to list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0"/>
  <sheetViews>
    <sheetView workbookViewId="0">
      <selection activeCell="F22" sqref="F22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143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52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26</v>
      </c>
      <c r="B6" s="23" t="s">
        <v>7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136</v>
      </c>
      <c r="B7" s="23" t="s">
        <v>20</v>
      </c>
      <c r="C7" s="27">
        <v>512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144</v>
      </c>
      <c r="B8" s="23" t="s">
        <v>20</v>
      </c>
      <c r="C8" s="27">
        <v>128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21</v>
      </c>
      <c r="B9" s="23" t="s">
        <v>9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22" t="s">
        <v>22</v>
      </c>
      <c r="B10" s="23" t="s">
        <v>20</v>
      </c>
      <c r="C10" s="27">
        <v>32</v>
      </c>
      <c r="D10" s="23"/>
      <c r="E10" s="23"/>
      <c r="F10" s="23" t="b">
        <v>1</v>
      </c>
      <c r="G10" s="23"/>
      <c r="H10" s="23"/>
      <c r="I10" s="24"/>
      <c r="J10" s="25"/>
    </row>
    <row r="11" spans="1:10" x14ac:dyDescent="0.2">
      <c r="A11" s="22"/>
      <c r="B11" s="23"/>
      <c r="C11" s="27"/>
      <c r="D11" s="23"/>
      <c r="E11" s="23"/>
      <c r="F11" s="23"/>
      <c r="G11" s="23"/>
      <c r="H11" s="23"/>
      <c r="I11" s="24"/>
      <c r="J11" s="25"/>
    </row>
    <row r="12" spans="1:10" x14ac:dyDescent="0.2">
      <c r="A12" s="22"/>
      <c r="B12" s="23"/>
      <c r="C12" s="27"/>
      <c r="D12" s="23"/>
      <c r="E12" s="23"/>
      <c r="F12" s="23"/>
      <c r="G12" s="23"/>
      <c r="H12" s="23"/>
      <c r="I12" s="24"/>
      <c r="J12" s="25"/>
    </row>
    <row r="13" spans="1:10" x14ac:dyDescent="0.2">
      <c r="A13" s="22"/>
      <c r="B13" s="23"/>
      <c r="C13" s="27"/>
      <c r="D13" s="23"/>
      <c r="E13" s="23"/>
      <c r="F13" s="23"/>
      <c r="G13" s="23"/>
      <c r="H13" s="23"/>
      <c r="I13" s="24"/>
      <c r="J13" s="25"/>
    </row>
    <row r="14" spans="1:10" x14ac:dyDescent="0.2">
      <c r="A14" s="22"/>
      <c r="B14" s="23"/>
      <c r="C14" s="27"/>
      <c r="D14" s="23"/>
      <c r="E14" s="23"/>
      <c r="F14" s="23"/>
      <c r="G14" s="23"/>
      <c r="H14" s="23"/>
      <c r="I14" s="24"/>
      <c r="J14" s="25"/>
    </row>
    <row r="15" spans="1:10" x14ac:dyDescent="0.2">
      <c r="A15" s="22"/>
      <c r="B15" s="23"/>
      <c r="C15" s="27"/>
      <c r="D15" s="23"/>
      <c r="E15" s="23"/>
      <c r="F15" s="23"/>
      <c r="G15" s="23"/>
      <c r="H15" s="23"/>
      <c r="I15" s="24"/>
      <c r="J15" s="25"/>
    </row>
    <row r="16" spans="1:10" x14ac:dyDescent="0.2">
      <c r="A16" s="22"/>
      <c r="H16" s="23"/>
      <c r="I16" s="24"/>
      <c r="J16" s="25"/>
    </row>
    <row r="17" spans="1:12" x14ac:dyDescent="0.2">
      <c r="A17" s="22"/>
      <c r="B17" s="23"/>
      <c r="C17" s="27"/>
      <c r="D17" s="23"/>
      <c r="E17" s="23"/>
      <c r="F17" s="23"/>
      <c r="G17" s="23"/>
      <c r="H17" s="23"/>
      <c r="I17" s="24"/>
      <c r="J17" s="25"/>
    </row>
    <row r="18" spans="1:12" x14ac:dyDescent="0.2">
      <c r="A18" s="22"/>
      <c r="B18" s="23"/>
      <c r="C18" s="27"/>
      <c r="D18" s="23"/>
      <c r="E18" s="23"/>
      <c r="F18" s="23"/>
      <c r="G18" s="23"/>
      <c r="H18" s="23"/>
      <c r="I18" s="24"/>
      <c r="J18" s="25"/>
    </row>
    <row r="19" spans="1:12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2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2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2" x14ac:dyDescent="0.2">
      <c r="A22" s="30"/>
      <c r="B22" s="23"/>
      <c r="C22" s="27"/>
      <c r="D22" s="28"/>
      <c r="E22" s="28"/>
      <c r="F22" s="28"/>
      <c r="G22" s="28"/>
      <c r="H22" s="28"/>
      <c r="I22" s="31"/>
      <c r="J22" s="25"/>
    </row>
    <row r="23" spans="1:12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2" x14ac:dyDescent="0.2">
      <c r="A24" s="22"/>
      <c r="B24" s="23"/>
      <c r="C24" s="27"/>
      <c r="D24" s="23"/>
      <c r="E24" s="23"/>
      <c r="F24" s="23"/>
      <c r="G24" s="23"/>
      <c r="H24" s="23"/>
      <c r="I24" s="24"/>
      <c r="J24" s="25"/>
    </row>
    <row r="25" spans="1:12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2" x14ac:dyDescent="0.2">
      <c r="A26" s="22"/>
      <c r="B26" s="23"/>
      <c r="C26" s="27"/>
      <c r="D26" s="23"/>
      <c r="E26" s="23"/>
      <c r="F26" s="23"/>
      <c r="G26" s="23"/>
      <c r="H26" s="23"/>
      <c r="I26" s="24"/>
      <c r="J26" s="25"/>
    </row>
    <row r="27" spans="1:12" x14ac:dyDescent="0.2">
      <c r="A27" s="22"/>
      <c r="B27" s="23"/>
      <c r="C27" s="27"/>
      <c r="D27" s="23"/>
      <c r="E27" s="23"/>
      <c r="F27" s="23"/>
      <c r="G27" s="23"/>
      <c r="H27" s="23"/>
      <c r="I27" s="24"/>
      <c r="J27" s="25"/>
    </row>
    <row r="28" spans="1:12" x14ac:dyDescent="0.2">
      <c r="A28" s="22"/>
      <c r="B28" s="23"/>
      <c r="C28" s="27"/>
      <c r="D28" s="23"/>
      <c r="E28" s="23"/>
      <c r="F28" s="23"/>
      <c r="G28" s="23"/>
      <c r="H28" s="23"/>
      <c r="I28" s="24"/>
      <c r="J28" s="25"/>
    </row>
    <row r="29" spans="1:12" x14ac:dyDescent="0.2">
      <c r="A29" s="22"/>
      <c r="B29" s="23"/>
      <c r="C29" s="27"/>
      <c r="D29" s="23"/>
      <c r="E29" s="23"/>
      <c r="F29" s="23"/>
      <c r="G29" s="23"/>
      <c r="H29" s="23"/>
      <c r="I29" s="24"/>
      <c r="J29" s="25"/>
    </row>
    <row r="30" spans="1:12" ht="13.5" thickBot="1" x14ac:dyDescent="0.25"/>
    <row r="31" spans="1:12" ht="13.5" thickBot="1" x14ac:dyDescent="0.25">
      <c r="A31" s="60" t="s">
        <v>10</v>
      </c>
      <c r="B31" s="61"/>
      <c r="C31" s="16"/>
      <c r="D31" s="17"/>
      <c r="E31" s="17"/>
      <c r="F31" s="18"/>
      <c r="G31" s="18"/>
      <c r="H31" s="18"/>
      <c r="I31" s="18"/>
      <c r="J31" s="18"/>
      <c r="K31" s="18"/>
      <c r="L31" s="18"/>
    </row>
    <row r="32" spans="1:12" x14ac:dyDescent="0.2">
      <c r="A32" s="5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5" t="str">
        <f>"if exists (select * from dbo.sysobjects where id = object_id(N'[dbo].["&amp;$B$1&amp;"]') and OBJECTPROPERTY(id, N'IsUserTable') = 1)"</f>
        <v>if exists (select * from dbo.sysobjects where id = object_id(N'[dbo].[Merchant_Product_Image]') and OBJECTPROPERTY(id, N'IsUserTable') = 1)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9" t="str">
        <f>"drop table [dbo].["&amp;$B$1&amp;"]"</f>
        <v>drop table [dbo].[Merchant_Product_Image]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9" t="s">
        <v>11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9"/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 t="str">
        <f>"CREATE TABLE [dbo].["&amp;$B$1&amp;"] ("</f>
        <v>CREATE TABLE [dbo].[Merchant_Product_Image] (</v>
      </c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ref="B39:B44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[ma_san_pham] [varchar] (20)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[ma_gian_hang] [varchar] (20) NOT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[url] [nvarchar] (512) NOT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[ma_anh_goc] [nvarchar] (128)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[ngay_tao] [datetime]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>[nguoi_tao] [nvarchar] (32) NULL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 t="s">
        <v>12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 t="s">
        <v>11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 t="str">
        <f>"ALTER TABLE [dbo].["&amp;$B$1&amp;"] ADD"</f>
        <v>ALTER TABLE [dbo].[Merchant_Product_Image] ADD</v>
      </c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 t="str">
        <f>"CONSTRAINT [PK_"&amp;$B$1&amp;"] PRIMARY KEY  CLUSTERED"</f>
        <v>CONSTRAINT [PK_Merchant_Product_Image] PRIMARY KEY  CLUSTERED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 t="s">
        <v>13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/>
      <c r="C51" s="5" t="str">
        <f>IF(D4=TRUE, "["&amp;A4&amp;"]"&amp;IF(D5="", "", ", "), "")</f>
        <v xml:space="preserve">[id], </v>
      </c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/>
      <c r="B52" s="5"/>
      <c r="C52" s="5" t="str">
        <f>IF(D5=TRUE, "["&amp;A5&amp;"]"&amp;IF(D6="", "", ", "), "")</f>
        <v xml:space="preserve">[ma_san_pham], </v>
      </c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/>
      <c r="C53" s="5" t="str">
        <f>IF(D6=TRUE, "["&amp;A6&amp;"]"&amp;IF(D8="", "", ", "), "")</f>
        <v>[ma_gian_hang]</v>
      </c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 t="s">
        <v>14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ht="13.5" thickBot="1" x14ac:dyDescent="0.25">
      <c r="A55" s="11" t="s">
        <v>11</v>
      </c>
      <c r="B55" s="12"/>
      <c r="C55" s="12"/>
      <c r="D55" s="12"/>
      <c r="E55" s="12"/>
      <c r="F55" s="13"/>
      <c r="G55" s="12"/>
      <c r="H55" s="12"/>
      <c r="I55" s="14"/>
      <c r="J55" s="14"/>
      <c r="K55" s="12"/>
      <c r="L55" s="15"/>
    </row>
    <row r="56" spans="1:12" x14ac:dyDescent="0.2">
      <c r="A56" s="2"/>
      <c r="B56" s="2"/>
      <c r="C56" s="2"/>
      <c r="D56" s="2"/>
      <c r="E56" s="2"/>
      <c r="F56" s="3"/>
      <c r="G56" s="2"/>
      <c r="H56" s="2"/>
      <c r="I56" s="4"/>
      <c r="J56" s="4"/>
      <c r="K56" s="2"/>
      <c r="L56" s="2"/>
    </row>
    <row r="57" spans="1:12" x14ac:dyDescent="0.2">
      <c r="C57" t="s">
        <v>44</v>
      </c>
    </row>
    <row r="58" spans="1:12" x14ac:dyDescent="0.2">
      <c r="A58" s="37" t="s">
        <v>45</v>
      </c>
      <c r="B58" s="37" t="str">
        <f>B1</f>
        <v>Merchant_Product_Image</v>
      </c>
      <c r="C58" s="37"/>
    </row>
    <row r="59" spans="1:12" x14ac:dyDescent="0.2">
      <c r="A59" s="37" t="s">
        <v>46</v>
      </c>
      <c r="B59" s="37"/>
      <c r="C59" s="37"/>
    </row>
    <row r="60" spans="1:12" x14ac:dyDescent="0.2">
      <c r="A60" s="37"/>
      <c r="B60" s="37" t="s">
        <v>47</v>
      </c>
      <c r="C60" s="37"/>
    </row>
    <row r="61" spans="1:12" x14ac:dyDescent="0.2">
      <c r="A61" s="37"/>
      <c r="B61" s="37" t="s">
        <v>48</v>
      </c>
      <c r="C61" s="37"/>
    </row>
    <row r="62" spans="1:12" x14ac:dyDescent="0.2">
      <c r="A62" s="37" t="s">
        <v>49</v>
      </c>
      <c r="B62" s="37" t="str">
        <f t="shared" ref="B62:B68" si="1">IF(OR($B4="nvarchar",$B4="varchar"),"string",IF($B4="datetime","DateTime",$B4))</f>
        <v>int</v>
      </c>
      <c r="C62" s="37" t="str">
        <f>A4&amp;" "&amp;$C$57</f>
        <v>id  { get; set; }</v>
      </c>
    </row>
    <row r="63" spans="1:12" x14ac:dyDescent="0.2">
      <c r="A63" s="37" t="s">
        <v>49</v>
      </c>
      <c r="B63" s="37" t="str">
        <f t="shared" si="1"/>
        <v>string</v>
      </c>
      <c r="C63" s="37" t="str">
        <f t="shared" ref="C63:C68" si="2">A5&amp;" "&amp;$C$57</f>
        <v>ma_san_pham  { get; set; }</v>
      </c>
    </row>
    <row r="64" spans="1:12" x14ac:dyDescent="0.2">
      <c r="A64" s="37" t="s">
        <v>49</v>
      </c>
      <c r="B64" s="37" t="str">
        <f t="shared" si="1"/>
        <v>string</v>
      </c>
      <c r="C64" s="37" t="str">
        <f t="shared" si="2"/>
        <v>ma_gian_hang  { get; set; }</v>
      </c>
    </row>
    <row r="65" spans="1:3" x14ac:dyDescent="0.2">
      <c r="A65" s="37" t="s">
        <v>49</v>
      </c>
      <c r="B65" s="37" t="str">
        <f t="shared" si="1"/>
        <v>string</v>
      </c>
      <c r="C65" s="37" t="str">
        <f t="shared" si="2"/>
        <v>url  { get; set; }</v>
      </c>
    </row>
    <row r="66" spans="1:3" x14ac:dyDescent="0.2">
      <c r="A66" s="37" t="s">
        <v>49</v>
      </c>
      <c r="B66" s="37" t="str">
        <f t="shared" si="1"/>
        <v>string</v>
      </c>
      <c r="C66" s="37" t="str">
        <f t="shared" si="2"/>
        <v>ma_anh_goc  { get; set; }</v>
      </c>
    </row>
    <row r="67" spans="1:3" x14ac:dyDescent="0.2">
      <c r="A67" s="37" t="s">
        <v>49</v>
      </c>
      <c r="B67" s="37" t="str">
        <f t="shared" si="1"/>
        <v>DateTime</v>
      </c>
      <c r="C67" s="37" t="str">
        <f t="shared" si="2"/>
        <v>ngay_tao  { get; set; }</v>
      </c>
    </row>
    <row r="68" spans="1:3" x14ac:dyDescent="0.2">
      <c r="A68" s="37" t="s">
        <v>49</v>
      </c>
      <c r="B68" s="37" t="str">
        <f t="shared" si="1"/>
        <v>string</v>
      </c>
      <c r="C68" s="37" t="str">
        <f t="shared" si="2"/>
        <v>nguoi_tao  { get; set; }</v>
      </c>
    </row>
    <row r="69" spans="1:3" x14ac:dyDescent="0.2">
      <c r="A69" s="37" t="s">
        <v>50</v>
      </c>
      <c r="B69" s="37"/>
      <c r="C69" s="37" t="str">
        <f>IF($B31="nvarchar","("&amp;$C$5&amp;")",IF($B31="varchar","("&amp;$C31&amp;")",""))</f>
        <v/>
      </c>
    </row>
    <row r="71" spans="1:3" x14ac:dyDescent="0.2">
      <c r="A71" s="37" t="s">
        <v>72</v>
      </c>
    </row>
    <row r="72" spans="1:3" s="41" customFormat="1" x14ac:dyDescent="0.2">
      <c r="A72" s="40" t="str">
        <f>"DROP TABLE IF EXISTS "&amp;$B$1&amp;";"</f>
        <v>DROP TABLE IF EXISTS Merchant_Product_Image;</v>
      </c>
    </row>
    <row r="73" spans="1:3" s="41" customFormat="1" x14ac:dyDescent="0.2">
      <c r="A73" s="42" t="str">
        <f>"CREATE TABLE "&amp;$B$1&amp;"("</f>
        <v>CREATE TABLE Merchant_Product_Image(</v>
      </c>
    </row>
    <row r="74" spans="1:3" s="41" customFormat="1" x14ac:dyDescent="0.2">
      <c r="B74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75" spans="1:3" s="41" customFormat="1" x14ac:dyDescent="0.2">
      <c r="B75" s="41" t="str">
        <f t="shared" ref="B75:B80" si="3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ma_san_pham varchar(20) NOT NULL, </v>
      </c>
    </row>
    <row r="76" spans="1:3" s="41" customFormat="1" x14ac:dyDescent="0.2">
      <c r="B76" s="41" t="str">
        <f t="shared" si="3"/>
        <v xml:space="preserve">ma_gian_hang varchar(20) NOT NULL, </v>
      </c>
    </row>
    <row r="77" spans="1:3" s="41" customFormat="1" x14ac:dyDescent="0.2">
      <c r="B77" s="41" t="str">
        <f t="shared" si="3"/>
        <v xml:space="preserve">url nvarchar(512) NOT NULL, </v>
      </c>
    </row>
    <row r="78" spans="1:3" s="41" customFormat="1" x14ac:dyDescent="0.2">
      <c r="B78" s="41" t="str">
        <f t="shared" si="3"/>
        <v xml:space="preserve">ma_anh_goc nvarchar(128) NOT NULL, </v>
      </c>
    </row>
    <row r="79" spans="1:3" s="41" customFormat="1" x14ac:dyDescent="0.2">
      <c r="B79" s="41" t="str">
        <f t="shared" si="3"/>
        <v xml:space="preserve">ngay_tao datetime NULL, </v>
      </c>
    </row>
    <row r="80" spans="1:3" s="41" customFormat="1" x14ac:dyDescent="0.2">
      <c r="B80" s="41" t="str">
        <f t="shared" si="3"/>
        <v>nguoi_tao nvarchar(32) NULL</v>
      </c>
    </row>
    <row r="81" spans="1:2" s="41" customFormat="1" x14ac:dyDescent="0.2">
      <c r="A81" s="41" t="s">
        <v>74</v>
      </c>
    </row>
    <row r="82" spans="1:2" s="41" customFormat="1" x14ac:dyDescent="0.2">
      <c r="B82" s="5" t="str">
        <f>IF(D4=TRUE, A4&amp;IF(D5="", "", ", "), "")</f>
        <v xml:space="preserve">id, </v>
      </c>
    </row>
    <row r="83" spans="1:2" s="41" customFormat="1" x14ac:dyDescent="0.2">
      <c r="B83" s="5" t="str">
        <f>IF(D5=TRUE, A5&amp;IF(D6="", "", ", "), "")</f>
        <v xml:space="preserve">ma_san_pham, </v>
      </c>
    </row>
    <row r="84" spans="1:2" s="41" customFormat="1" x14ac:dyDescent="0.2">
      <c r="B84" s="5" t="str">
        <f>IF(D6=TRUE, A6&amp;IF(D8="", "", ", "), "")</f>
        <v>ma_gian_hang</v>
      </c>
    </row>
    <row r="85" spans="1:2" s="41" customFormat="1" x14ac:dyDescent="0.2">
      <c r="B85" s="41" t="s">
        <v>75</v>
      </c>
    </row>
    <row r="86" spans="1:2" s="41" customFormat="1" x14ac:dyDescent="0.2">
      <c r="A86" s="41" t="s">
        <v>73</v>
      </c>
    </row>
    <row r="87" spans="1:2" s="41" customFormat="1" x14ac:dyDescent="0.2"/>
    <row r="88" spans="1:2" s="41" customFormat="1" x14ac:dyDescent="0.2"/>
    <row r="89" spans="1:2" s="41" customFormat="1" x14ac:dyDescent="0.2"/>
    <row r="90" spans="1:2" s="41" customFormat="1" x14ac:dyDescent="0.2"/>
  </sheetData>
  <mergeCells count="1">
    <mergeCell ref="A31:B31"/>
  </mergeCells>
  <hyperlinks>
    <hyperlink ref="D1" location="'Sheet List'!A1" display="back to list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6"/>
  <sheetViews>
    <sheetView workbookViewId="0"/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53" t="s">
        <v>151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53" t="s">
        <v>155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53" t="s">
        <v>26</v>
      </c>
      <c r="B6" s="23" t="s">
        <v>7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x14ac:dyDescent="0.2">
      <c r="A7" s="53" t="s">
        <v>168</v>
      </c>
      <c r="B7" s="23" t="s">
        <v>20</v>
      </c>
      <c r="C7" s="27">
        <v>256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53" t="s">
        <v>169</v>
      </c>
      <c r="B8" s="23" t="s">
        <v>20</v>
      </c>
      <c r="C8" s="27">
        <v>1024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53" t="s">
        <v>170</v>
      </c>
      <c r="B9" s="23" t="s">
        <v>7</v>
      </c>
      <c r="C9" s="27">
        <v>100</v>
      </c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53" t="s">
        <v>33</v>
      </c>
      <c r="B10" s="23" t="s">
        <v>7</v>
      </c>
      <c r="C10" s="27">
        <v>100</v>
      </c>
      <c r="D10" s="23"/>
      <c r="E10" s="23"/>
      <c r="F10" s="23" t="b">
        <v>1</v>
      </c>
      <c r="G10" s="23"/>
      <c r="H10" s="23"/>
      <c r="I10" s="24"/>
      <c r="J10" s="25"/>
    </row>
    <row r="11" spans="1:10" x14ac:dyDescent="0.2">
      <c r="A11" s="53" t="s">
        <v>32</v>
      </c>
      <c r="B11" s="23" t="s">
        <v>7</v>
      </c>
      <c r="C11" s="27">
        <v>100</v>
      </c>
      <c r="D11" s="23"/>
      <c r="E11" s="23"/>
      <c r="F11" s="23" t="b">
        <v>1</v>
      </c>
      <c r="G11" s="23"/>
      <c r="H11" s="23"/>
      <c r="I11" s="24"/>
      <c r="J11" s="25"/>
    </row>
    <row r="12" spans="1:10" x14ac:dyDescent="0.2">
      <c r="A12" s="53" t="s">
        <v>158</v>
      </c>
      <c r="B12" s="23" t="s">
        <v>20</v>
      </c>
      <c r="C12" s="27">
        <v>256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">
      <c r="A13" s="53" t="s">
        <v>160</v>
      </c>
      <c r="B13" s="23" t="s">
        <v>20</v>
      </c>
      <c r="C13" s="27">
        <v>4000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53" t="s">
        <v>51</v>
      </c>
      <c r="B14" s="23" t="s">
        <v>7</v>
      </c>
      <c r="C14" s="27">
        <v>32</v>
      </c>
      <c r="D14" s="23"/>
      <c r="E14" s="23"/>
      <c r="F14" s="23" t="b">
        <v>0</v>
      </c>
      <c r="G14" s="23"/>
      <c r="H14" s="23"/>
      <c r="I14" s="24"/>
      <c r="J14" s="25"/>
    </row>
    <row r="15" spans="1:10" x14ac:dyDescent="0.2">
      <c r="A15" s="53" t="s">
        <v>21</v>
      </c>
      <c r="B15" s="23" t="s">
        <v>9</v>
      </c>
      <c r="C15" s="27"/>
      <c r="D15" s="23"/>
      <c r="E15" s="23"/>
      <c r="F15" s="23" t="b">
        <v>0</v>
      </c>
      <c r="G15" s="23"/>
      <c r="H15" s="23"/>
      <c r="I15" s="24"/>
      <c r="J15" s="25"/>
    </row>
    <row r="16" spans="1:10" x14ac:dyDescent="0.2">
      <c r="A16" s="53" t="s">
        <v>22</v>
      </c>
      <c r="B16" s="47" t="s">
        <v>20</v>
      </c>
      <c r="C16" s="54">
        <v>32</v>
      </c>
      <c r="F16" s="23" t="b">
        <v>0</v>
      </c>
      <c r="H16" s="23"/>
      <c r="I16" s="24"/>
      <c r="J16" s="25"/>
    </row>
    <row r="17" spans="1:12" x14ac:dyDescent="0.2">
      <c r="A17" s="53" t="s">
        <v>23</v>
      </c>
      <c r="B17" s="23" t="s">
        <v>9</v>
      </c>
      <c r="C17" s="27"/>
      <c r="D17" s="23"/>
      <c r="E17" s="23"/>
      <c r="F17" s="23" t="b">
        <v>1</v>
      </c>
      <c r="G17" s="23"/>
      <c r="H17" s="23"/>
      <c r="I17" s="24"/>
      <c r="J17" s="25"/>
    </row>
    <row r="18" spans="1:12" x14ac:dyDescent="0.2">
      <c r="A18" s="53" t="s">
        <v>24</v>
      </c>
      <c r="B18" s="23" t="s">
        <v>20</v>
      </c>
      <c r="C18" s="27">
        <v>32</v>
      </c>
      <c r="D18" s="23"/>
      <c r="E18" s="23"/>
      <c r="F18" s="23" t="b">
        <v>1</v>
      </c>
      <c r="G18" s="23"/>
      <c r="H18" s="23"/>
      <c r="I18" s="24"/>
      <c r="J18" s="25"/>
    </row>
    <row r="19" spans="1:12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2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2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2" x14ac:dyDescent="0.2">
      <c r="A24" s="22"/>
      <c r="B24" s="23"/>
      <c r="C24" s="27"/>
      <c r="D24" s="23"/>
      <c r="E24" s="23"/>
      <c r="F24" s="23"/>
      <c r="G24" s="23"/>
      <c r="H24" s="23"/>
      <c r="I24" s="24"/>
      <c r="J24" s="25"/>
    </row>
    <row r="25" spans="1:12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2" ht="13.5" thickBot="1" x14ac:dyDescent="0.25"/>
    <row r="27" spans="1:12" ht="13.5" thickBot="1" x14ac:dyDescent="0.25">
      <c r="A27" s="60" t="s">
        <v>10</v>
      </c>
      <c r="B27" s="61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5" t="str">
        <f>"if exists (select * from dbo.sysobjects where id = object_id(N'[dbo].["&amp;$B$1&amp;"]') and OBJECTPROPERTY(id, N'IsUserTable') = 1)"</f>
        <v>if exists (select * from dbo.sysobjects where id = object_id(N'[dbo].[Merchant_WareHouse]')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 t="str">
        <f>"drop table [dbo].["&amp;$B$1&amp;"]"</f>
        <v>drop table [dbo].[Merchant_WareHouse]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 t="str">
        <f>"CREATE TABLE [dbo].["&amp;$B$1&amp;"] ("</f>
        <v>CREATE TABLE [dbo].[Merchant_WareHouse]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ref="B35:B48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[ma_kho] [varchar] (20)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[ma_gian_hang] [varchar] (20)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[ten_kho] [nvarchar] (256)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[dia_chi] [nvarchar] (1024)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[phone] [varchar] (100)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[fax] [varchar] (100)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[email] [varchar] (100)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[thu_kho] [nvarchar] (256)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[ghi_chu] [nvarchar] (4000)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[trang_thai] [varchar] (32) NOT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[ngay_tao] [datetime] NOT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[nguoi_tao] [nvarchar] (32) NOT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 xml:space="preserve">[ngay_cap_nhat] [datetime]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 t="str">
        <f t="shared" si="0"/>
        <v>[nguoi_cap_nhat] [nvarchar] (32) NULL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 t="s">
        <v>12</v>
      </c>
      <c r="B49" s="5"/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 t="s">
        <v>11</v>
      </c>
      <c r="B50" s="5"/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/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 t="str">
        <f>"ALTER TABLE [dbo].["&amp;$B$1&amp;"] ADD"</f>
        <v>ALTER TABLE [dbo].[Merchant_WareHouse] ADD</v>
      </c>
      <c r="B52" s="5"/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 t="str">
        <f>"CONSTRAINT [PK_"&amp;$B$1&amp;"] PRIMARY KEY  CLUSTERED"</f>
        <v>CONSTRAINT [PK_Merchant_WareHouse] PRIMARY KEY  CLUSTERED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 t="s">
        <v>13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9"/>
      <c r="B55" s="5"/>
      <c r="C55" s="5" t="str">
        <f>IF(D4=TRUE, "["&amp;A4&amp;"]"&amp;IF(D5="", "", ", "), "")</f>
        <v xml:space="preserve">[id], </v>
      </c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9"/>
      <c r="B56" s="5"/>
      <c r="C56" s="5" t="str">
        <f t="shared" ref="C56:C57" si="1">IF(D5=TRUE, "["&amp;A5&amp;"]"&amp;IF(D6="", "", ", "), "")</f>
        <v xml:space="preserve">[ma_kho], </v>
      </c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/>
      <c r="B57" s="5"/>
      <c r="C57" s="5" t="str">
        <f t="shared" si="1"/>
        <v>[ma_gian_hang]</v>
      </c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/>
      <c r="B58" s="5"/>
      <c r="C58" s="5" t="str">
        <f>IF(D7=TRUE, "["&amp;A7&amp;"]"&amp;IF(D8="", "", ", "), "")</f>
        <v/>
      </c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9"/>
      <c r="B59" s="5" t="s">
        <v>14</v>
      </c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ht="13.5" thickBot="1" x14ac:dyDescent="0.25">
      <c r="A60" s="11" t="s">
        <v>11</v>
      </c>
      <c r="B60" s="12"/>
      <c r="C60" s="12"/>
      <c r="D60" s="12"/>
      <c r="E60" s="12"/>
      <c r="F60" s="13"/>
      <c r="G60" s="12"/>
      <c r="H60" s="12"/>
      <c r="I60" s="14"/>
      <c r="J60" s="14"/>
      <c r="K60" s="12"/>
      <c r="L60" s="15"/>
    </row>
    <row r="61" spans="1:12" x14ac:dyDescent="0.2">
      <c r="A61" s="2"/>
      <c r="B61" s="2"/>
      <c r="C61" s="2"/>
      <c r="D61" s="2"/>
      <c r="E61" s="2"/>
      <c r="F61" s="3"/>
      <c r="G61" s="2"/>
      <c r="H61" s="2"/>
      <c r="I61" s="4"/>
      <c r="J61" s="4"/>
      <c r="K61" s="2"/>
      <c r="L61" s="2"/>
    </row>
    <row r="62" spans="1:12" x14ac:dyDescent="0.2">
      <c r="C62" t="s">
        <v>44</v>
      </c>
    </row>
    <row r="63" spans="1:12" x14ac:dyDescent="0.2">
      <c r="A63" s="37" t="s">
        <v>45</v>
      </c>
      <c r="B63" s="37" t="str">
        <f>B1</f>
        <v>Merchant_WareHouse</v>
      </c>
      <c r="C63" s="37"/>
    </row>
    <row r="64" spans="1:12" x14ac:dyDescent="0.2">
      <c r="A64" s="37" t="s">
        <v>46</v>
      </c>
      <c r="B64" s="37"/>
      <c r="C64" s="37"/>
    </row>
    <row r="65" spans="1:3" x14ac:dyDescent="0.2">
      <c r="A65" s="37"/>
      <c r="B65" s="37" t="s">
        <v>47</v>
      </c>
      <c r="C65" s="37"/>
    </row>
    <row r="66" spans="1:3" x14ac:dyDescent="0.2">
      <c r="A66" s="37"/>
      <c r="B66" s="37" t="s">
        <v>48</v>
      </c>
      <c r="C66" s="37"/>
    </row>
    <row r="67" spans="1:3" x14ac:dyDescent="0.2">
      <c r="A67" s="37" t="s">
        <v>49</v>
      </c>
      <c r="B67" s="37" t="str">
        <f>IF(OR($B4="nvarchar",$B4="varchar"),"string",IF($B4="datetime","DateTime",$B4))</f>
        <v>int</v>
      </c>
      <c r="C67" s="37" t="str">
        <f>A4&amp;" "&amp;$C$62</f>
        <v>id  { get; set; }</v>
      </c>
    </row>
    <row r="68" spans="1:3" x14ac:dyDescent="0.2">
      <c r="A68" s="37" t="s">
        <v>49</v>
      </c>
      <c r="B68" s="37" t="str">
        <f t="shared" ref="B68:B81" si="2">IF(OR($B5="nvarchar",$B5="varchar"),"string",IF($B5="datetime","DateTime",$B5))</f>
        <v>string</v>
      </c>
      <c r="C68" s="37" t="str">
        <f t="shared" ref="C68:C81" si="3">A5&amp;" "&amp;$C$62</f>
        <v>ma_kho  { get; set; }</v>
      </c>
    </row>
    <row r="69" spans="1:3" x14ac:dyDescent="0.2">
      <c r="A69" s="37" t="s">
        <v>49</v>
      </c>
      <c r="B69" s="37" t="str">
        <f t="shared" si="2"/>
        <v>string</v>
      </c>
      <c r="C69" s="37" t="str">
        <f t="shared" si="3"/>
        <v>ma_gian_hang  { get; set; }</v>
      </c>
    </row>
    <row r="70" spans="1:3" x14ac:dyDescent="0.2">
      <c r="A70" s="37" t="s">
        <v>49</v>
      </c>
      <c r="B70" s="37" t="str">
        <f t="shared" si="2"/>
        <v>string</v>
      </c>
      <c r="C70" s="37" t="str">
        <f t="shared" si="3"/>
        <v>ten_kho  { get; set; }</v>
      </c>
    </row>
    <row r="71" spans="1:3" x14ac:dyDescent="0.2">
      <c r="A71" s="37" t="s">
        <v>49</v>
      </c>
      <c r="B71" s="37" t="str">
        <f t="shared" si="2"/>
        <v>string</v>
      </c>
      <c r="C71" s="37" t="str">
        <f t="shared" si="3"/>
        <v>dia_chi  { get; set; }</v>
      </c>
    </row>
    <row r="72" spans="1:3" x14ac:dyDescent="0.2">
      <c r="A72" s="37" t="s">
        <v>49</v>
      </c>
      <c r="B72" s="37" t="str">
        <f t="shared" si="2"/>
        <v>string</v>
      </c>
      <c r="C72" s="37" t="str">
        <f t="shared" si="3"/>
        <v>phone  { get; set; }</v>
      </c>
    </row>
    <row r="73" spans="1:3" x14ac:dyDescent="0.2">
      <c r="A73" s="37" t="s">
        <v>49</v>
      </c>
      <c r="B73" s="37" t="str">
        <f t="shared" si="2"/>
        <v>string</v>
      </c>
      <c r="C73" s="37" t="str">
        <f t="shared" si="3"/>
        <v>fax  { get; set; }</v>
      </c>
    </row>
    <row r="74" spans="1:3" x14ac:dyDescent="0.2">
      <c r="A74" s="37" t="s">
        <v>49</v>
      </c>
      <c r="B74" s="37" t="str">
        <f t="shared" si="2"/>
        <v>string</v>
      </c>
      <c r="C74" s="37" t="str">
        <f t="shared" si="3"/>
        <v>email  { get; set; }</v>
      </c>
    </row>
    <row r="75" spans="1:3" x14ac:dyDescent="0.2">
      <c r="A75" s="37" t="s">
        <v>49</v>
      </c>
      <c r="B75" s="37" t="str">
        <f t="shared" si="2"/>
        <v>string</v>
      </c>
      <c r="C75" s="37" t="str">
        <f t="shared" si="3"/>
        <v>thu_kho  { get; set; }</v>
      </c>
    </row>
    <row r="76" spans="1:3" x14ac:dyDescent="0.2">
      <c r="A76" s="37" t="s">
        <v>49</v>
      </c>
      <c r="B76" s="37" t="str">
        <f t="shared" si="2"/>
        <v>string</v>
      </c>
      <c r="C76" s="37" t="str">
        <f t="shared" si="3"/>
        <v>ghi_chu  { get; set; }</v>
      </c>
    </row>
    <row r="77" spans="1:3" x14ac:dyDescent="0.2">
      <c r="A77" s="37" t="s">
        <v>49</v>
      </c>
      <c r="B77" s="37" t="str">
        <f t="shared" si="2"/>
        <v>string</v>
      </c>
      <c r="C77" s="37" t="str">
        <f t="shared" si="3"/>
        <v>trang_thai  { get; set; }</v>
      </c>
    </row>
    <row r="78" spans="1:3" x14ac:dyDescent="0.2">
      <c r="A78" s="37" t="s">
        <v>49</v>
      </c>
      <c r="B78" s="37" t="str">
        <f t="shared" si="2"/>
        <v>DateTime</v>
      </c>
      <c r="C78" s="37" t="str">
        <f t="shared" si="3"/>
        <v>ngay_tao  { get; set; }</v>
      </c>
    </row>
    <row r="79" spans="1:3" x14ac:dyDescent="0.2">
      <c r="A79" s="37" t="s">
        <v>49</v>
      </c>
      <c r="B79" s="37" t="str">
        <f t="shared" si="2"/>
        <v>string</v>
      </c>
      <c r="C79" s="37" t="str">
        <f t="shared" si="3"/>
        <v>nguoi_tao  { get; set; }</v>
      </c>
    </row>
    <row r="80" spans="1:3" x14ac:dyDescent="0.2">
      <c r="A80" s="37" t="s">
        <v>49</v>
      </c>
      <c r="B80" s="37" t="str">
        <f t="shared" si="2"/>
        <v>DateTime</v>
      </c>
      <c r="C80" s="37" t="str">
        <f t="shared" si="3"/>
        <v>ngay_cap_nhat  { get; set; }</v>
      </c>
    </row>
    <row r="81" spans="1:3" x14ac:dyDescent="0.2">
      <c r="A81" s="37" t="s">
        <v>49</v>
      </c>
      <c r="B81" s="37" t="str">
        <f t="shared" si="2"/>
        <v>string</v>
      </c>
      <c r="C81" s="37" t="str">
        <f t="shared" si="3"/>
        <v>nguoi_cap_nhat  { get; set; }</v>
      </c>
    </row>
    <row r="82" spans="1:3" x14ac:dyDescent="0.2">
      <c r="A82" s="37" t="s">
        <v>50</v>
      </c>
      <c r="B82" s="37"/>
      <c r="C82" s="37" t="str">
        <f>IF($B27="nvarchar","("&amp;$C$5&amp;")",IF($B27="varchar","("&amp;$C27&amp;")",""))</f>
        <v/>
      </c>
    </row>
    <row r="84" spans="1:3" x14ac:dyDescent="0.2">
      <c r="A84" s="37" t="s">
        <v>72</v>
      </c>
    </row>
    <row r="85" spans="1:3" s="41" customFormat="1" x14ac:dyDescent="0.2">
      <c r="A85" s="40" t="str">
        <f>"DROP TABLE IF EXISTS "&amp;$B$1&amp;";"</f>
        <v>DROP TABLE IF EXISTS Merchant_WareHouse;</v>
      </c>
    </row>
    <row r="86" spans="1:3" s="41" customFormat="1" x14ac:dyDescent="0.2">
      <c r="A86" s="42" t="str">
        <f>"CREATE TABLE "&amp;$B$1&amp;"("</f>
        <v>CREATE TABLE Merchant_WareHouse(</v>
      </c>
    </row>
    <row r="87" spans="1:3" s="41" customFormat="1" x14ac:dyDescent="0.2">
      <c r="B87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8" spans="1:3" s="41" customFormat="1" x14ac:dyDescent="0.2">
      <c r="B88" s="41" t="str">
        <f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ma_kho varchar(20) NOT NULL, </v>
      </c>
    </row>
    <row r="89" spans="1:3" s="41" customFormat="1" x14ac:dyDescent="0.2">
      <c r="B89" s="41" t="str">
        <f>A6&amp;" "&amp;B6&amp;IF(AND(B6&lt;&gt;"int",B6&lt;&gt;"bigint",B6&lt;&gt;"bit",B6&lt;&gt;"float",B6&lt;&gt;"datetime",B6&lt;&gt;"smalldatetime",B6&lt;&gt;"timestamp",B6&lt;&gt;"xml"),"("&amp;C6&amp;") "," ")&amp;""&amp;IF(F6=FALSE,"NOT NULL","NULL")&amp;IF(G6&lt;&gt;""," DEFAULT ("&amp;G6&amp;")","")&amp;IF(H6=TRUE," AUTO_INCREMENT","")&amp;IF(A7&lt;&gt;"",", ","")</f>
        <v xml:space="preserve">ma_gian_hang varchar(20) NOT NULL, </v>
      </c>
    </row>
    <row r="90" spans="1:3" s="41" customFormat="1" x14ac:dyDescent="0.2">
      <c r="B90" s="41" t="e">
        <f>A7&amp;" "&amp;B7&amp;IF(AND(B7&lt;&gt;"int",B7&lt;&gt;"bigint",B7&lt;&gt;"bit",B7&lt;&gt;"float",B7&lt;&gt;"datetime",B7&lt;&gt;"smalldatetime",B7&lt;&gt;"timestamp",B7&lt;&gt;"xml"),"("&amp;C7&amp;") "," ")&amp;""&amp;IF(F7=FALSE,"NOT NULL","NULL")&amp;IF(G7&lt;&gt;""," DEFAULT ("&amp;G7&amp;")","")&amp;IF(H7=TRUE," AUTO_INCREMENT","")&amp;IF(#REF!&lt;&gt;"",", ","")</f>
        <v>#REF!</v>
      </c>
    </row>
    <row r="91" spans="1:3" s="41" customFormat="1" x14ac:dyDescent="0.2">
      <c r="B91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AUTO_INCREMENT","")&amp;IF(A8&lt;&gt;"",", ","")</f>
        <v>#REF!</v>
      </c>
    </row>
    <row r="92" spans="1:3" s="41" customFormat="1" x14ac:dyDescent="0.2">
      <c r="B92" s="41" t="e">
        <f>A8&amp;" "&amp;B8&amp;IF(AND(B8&lt;&gt;"int",B8&lt;&gt;"bigint",B8&lt;&gt;"bit",B8&lt;&gt;"float",B8&lt;&gt;"datetime",B8&lt;&gt;"smalldatetime",B8&lt;&gt;"timestamp",B8&lt;&gt;"xml"),"("&amp;C8&amp;") "," ")&amp;""&amp;IF(F8=FALSE,"NOT NULL","NULL")&amp;IF(G8&lt;&gt;""," DEFAULT ("&amp;G8&amp;")","")&amp;IF(H8=TRUE," AUTO_INCREMENT","")&amp;IF(#REF!&lt;&gt;"",", ","")</f>
        <v>#REF!</v>
      </c>
    </row>
    <row r="93" spans="1:3" s="41" customFormat="1" x14ac:dyDescent="0.2">
      <c r="B93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AUTO_INCREMENT","")&amp;IF(#REF!&lt;&gt;"",", ","")</f>
        <v>#REF!</v>
      </c>
    </row>
    <row r="94" spans="1:3" s="41" customFormat="1" x14ac:dyDescent="0.2">
      <c r="B94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AUTO_INCREMENT","")&amp;IF(#REF!&lt;&gt;"",", ","")</f>
        <v>#REF!</v>
      </c>
    </row>
    <row r="95" spans="1:3" s="41" customFormat="1" x14ac:dyDescent="0.2">
      <c r="B95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AUTO_INCREMENT","")&amp;IF(A12&lt;&gt;"",", ","")</f>
        <v>#REF!</v>
      </c>
    </row>
    <row r="96" spans="1:3" s="41" customFormat="1" x14ac:dyDescent="0.2">
      <c r="B96" s="41" t="str">
        <f t="shared" ref="B96:B101" si="4">A12&amp;" "&amp;B12&amp;IF(AND(B12&lt;&gt;"int",B12&lt;&gt;"bigint",B12&lt;&gt;"bit",B12&lt;&gt;"float",B12&lt;&gt;"datetime",B12&lt;&gt;"smalldatetime",B12&lt;&gt;"timestamp",B12&lt;&gt;"xml"),"("&amp;C12&amp;") "," ")&amp;""&amp;IF(F12=FALSE,"NOT NULL","NULL")&amp;IF(G12&lt;&gt;""," DEFAULT ("&amp;G12&amp;")","")&amp;IF(H12=TRUE," AUTO_INCREMENT","")&amp;IF(A13&lt;&gt;"",", ","")</f>
        <v xml:space="preserve">thu_kho nvarchar(256) NULL, </v>
      </c>
    </row>
    <row r="97" spans="1:2" s="41" customFormat="1" x14ac:dyDescent="0.2">
      <c r="B97" s="41" t="str">
        <f t="shared" si="4"/>
        <v xml:space="preserve">ghi_chu nvarchar(4000) NULL, </v>
      </c>
    </row>
    <row r="98" spans="1:2" s="41" customFormat="1" x14ac:dyDescent="0.2">
      <c r="B98" s="41" t="str">
        <f t="shared" si="4"/>
        <v xml:space="preserve">trang_thai varchar(32) NOT NULL, </v>
      </c>
    </row>
    <row r="99" spans="1:2" s="41" customFormat="1" x14ac:dyDescent="0.2">
      <c r="B99" s="41" t="str">
        <f t="shared" si="4"/>
        <v xml:space="preserve">ngay_tao datetime NOT NULL, </v>
      </c>
    </row>
    <row r="100" spans="1:2" s="41" customFormat="1" x14ac:dyDescent="0.2">
      <c r="B100" s="41" t="str">
        <f t="shared" si="4"/>
        <v xml:space="preserve">nguoi_tao nvarchar(32) NOT NULL, </v>
      </c>
    </row>
    <row r="101" spans="1:2" s="41" customFormat="1" x14ac:dyDescent="0.2">
      <c r="B101" s="41" t="str">
        <f t="shared" si="4"/>
        <v xml:space="preserve">ngay_cap_nhat datetime NULL, </v>
      </c>
    </row>
    <row r="102" spans="1:2" s="41" customFormat="1" x14ac:dyDescent="0.2">
      <c r="B102" s="41" t="str">
        <f>A18&amp;" "&amp;B18&amp;IF(AND(B18&lt;&gt;"int",B18&lt;&gt;"bigint",B18&lt;&gt;"bit",B18&lt;&gt;"float",B18&lt;&gt;"datetime",B18&lt;&gt;"smalldatetime",B18&lt;&gt;"timestamp",B18&lt;&gt;"xml"),"("&amp;C18&amp;") "," ")&amp;""&amp;IF(F18=FALSE,"NOT NULL","NULL")&amp;IF(G18&lt;&gt;""," DEFAULT ("&amp;G18&amp;")","")&amp;IF(H18=TRUE," AUTO_INCREMENT","")&amp;IF(A9&lt;&gt;"",", ","")</f>
        <v xml:space="preserve">nguoi_cap_nhat nvarchar(32) NULL, </v>
      </c>
    </row>
    <row r="103" spans="1:2" s="41" customFormat="1" x14ac:dyDescent="0.2">
      <c r="B103" s="41" t="str">
        <f>A9&amp;" "&amp;B9&amp;IF(AND(B9&lt;&gt;"int",B9&lt;&gt;"bigint",B9&lt;&gt;"bit",B9&lt;&gt;"float",B9&lt;&gt;"datetime",B9&lt;&gt;"smalldatetime",B9&lt;&gt;"timestamp",B9&lt;&gt;"xml"),"("&amp;C9&amp;") "," ")&amp;""&amp;IF(F9=FALSE,"NOT NULL","NULL")&amp;IF(G9&lt;&gt;""," DEFAULT ("&amp;G9&amp;")","")&amp;IF(H9=TRUE," AUTO_INCREMENT","")&amp;IF(A10&lt;&gt;"",", ","")</f>
        <v xml:space="preserve">phone varchar(100) NULL, </v>
      </c>
    </row>
    <row r="104" spans="1:2" s="41" customFormat="1" x14ac:dyDescent="0.2">
      <c r="B104" s="41" t="str">
        <f>A10&amp;" "&amp;B10&amp;IF(AND(B10&lt;&gt;"int",B10&lt;&gt;"bigint",B10&lt;&gt;"bit",B10&lt;&gt;"float",B10&lt;&gt;"datetime",B10&lt;&gt;"smalldatetime",B10&lt;&gt;"timestamp",B10&lt;&gt;"xml"),"("&amp;C10&amp;") "," ")&amp;""&amp;IF(F10=FALSE,"NOT NULL","NULL")&amp;IF(G10&lt;&gt;""," DEFAULT ("&amp;G10&amp;")","")&amp;IF(H10=TRUE," AUTO_INCREMENT","")&amp;IF(A11&lt;&gt;"",", ","")</f>
        <v xml:space="preserve">fax varchar(100) NULL, </v>
      </c>
    </row>
    <row r="105" spans="1:2" s="41" customFormat="1" x14ac:dyDescent="0.2">
      <c r="B105" s="41" t="e">
        <f>A11&amp;" "&amp;B11&amp;IF(AND(B11&lt;&gt;"int",B11&lt;&gt;"bigint",B11&lt;&gt;"bit",B11&lt;&gt;"float",B11&lt;&gt;"datetime",B11&lt;&gt;"smalldatetime",B11&lt;&gt;"timestamp",B11&lt;&gt;"xml"),"("&amp;C11&amp;") "," ")&amp;""&amp;IF(F11=FALSE,"NOT NULL","NULL")&amp;IF(G11&lt;&gt;""," DEFAULT ("&amp;G11&amp;")","")&amp;IF(H11=TRUE," AUTO_INCREMENT","")&amp;IF(#REF!&lt;&gt;"",", ","")</f>
        <v>#REF!</v>
      </c>
    </row>
    <row r="106" spans="1:2" s="41" customFormat="1" x14ac:dyDescent="0.2">
      <c r="B106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AUTO_INCREMENT","")&amp;IF(A19&lt;&gt;"",", ","")</f>
        <v>#REF!</v>
      </c>
    </row>
    <row r="107" spans="1:2" s="41" customFormat="1" x14ac:dyDescent="0.2">
      <c r="A107" s="41" t="s">
        <v>74</v>
      </c>
    </row>
    <row r="108" spans="1:2" s="41" customFormat="1" x14ac:dyDescent="0.2">
      <c r="B108" s="5" t="str">
        <f>IF(D4=TRUE, A4&amp;IF(D5="", "", ", "), "")</f>
        <v xml:space="preserve">id, </v>
      </c>
    </row>
    <row r="109" spans="1:2" s="41" customFormat="1" x14ac:dyDescent="0.2">
      <c r="B109" s="5" t="str">
        <f t="shared" ref="B109:B110" si="5">IF(D5=TRUE, A5&amp;IF(D6="", "", ", "), "")</f>
        <v xml:space="preserve">ma_kho, </v>
      </c>
    </row>
    <row r="110" spans="1:2" s="41" customFormat="1" x14ac:dyDescent="0.2">
      <c r="B110" s="5" t="str">
        <f t="shared" si="5"/>
        <v>ma_gian_hang</v>
      </c>
    </row>
    <row r="111" spans="1:2" s="41" customFormat="1" x14ac:dyDescent="0.2">
      <c r="B111" s="41" t="s">
        <v>75</v>
      </c>
    </row>
    <row r="112" spans="1:2" s="41" customFormat="1" x14ac:dyDescent="0.2">
      <c r="A112" s="41" t="s">
        <v>73</v>
      </c>
    </row>
    <row r="113" s="41" customFormat="1" x14ac:dyDescent="0.2"/>
    <row r="114" s="41" customFormat="1" x14ac:dyDescent="0.2"/>
    <row r="115" s="41" customFormat="1" x14ac:dyDescent="0.2"/>
    <row r="116" s="41" customFormat="1" x14ac:dyDescent="0.2"/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6"/>
  <sheetViews>
    <sheetView workbookViewId="0">
      <selection activeCell="C114" sqref="A1:XFD1048576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53" t="s">
        <v>182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53" t="s">
        <v>155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53" t="s">
        <v>26</v>
      </c>
      <c r="B6" s="23" t="s">
        <v>7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x14ac:dyDescent="0.2">
      <c r="A7" s="53" t="s">
        <v>168</v>
      </c>
      <c r="B7" s="23" t="s">
        <v>7</v>
      </c>
      <c r="C7" s="27">
        <v>256</v>
      </c>
      <c r="D7" s="23" t="b">
        <v>1</v>
      </c>
      <c r="E7" s="23"/>
      <c r="F7" s="23" t="b">
        <v>0</v>
      </c>
      <c r="G7" s="23"/>
      <c r="H7" s="23"/>
      <c r="I7" s="24"/>
      <c r="J7" s="25"/>
    </row>
    <row r="8" spans="1:10" x14ac:dyDescent="0.2">
      <c r="A8" s="53" t="s">
        <v>183</v>
      </c>
      <c r="B8" s="23" t="s">
        <v>7</v>
      </c>
      <c r="C8" s="27">
        <v>256</v>
      </c>
      <c r="D8" s="23" t="b">
        <v>1</v>
      </c>
      <c r="E8" s="23"/>
      <c r="F8" s="23" t="b">
        <v>0</v>
      </c>
      <c r="G8" s="23"/>
      <c r="H8" s="23"/>
      <c r="I8" s="24"/>
      <c r="J8" s="25"/>
    </row>
    <row r="9" spans="1:10" x14ac:dyDescent="0.2">
      <c r="A9" s="53" t="s">
        <v>43</v>
      </c>
      <c r="B9" s="23" t="s">
        <v>7</v>
      </c>
      <c r="C9" s="27">
        <v>4096</v>
      </c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53" t="s">
        <v>51</v>
      </c>
      <c r="B10" s="23" t="s">
        <v>7</v>
      </c>
      <c r="C10" s="27">
        <v>2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53"/>
      <c r="B11" s="23"/>
      <c r="C11" s="27"/>
      <c r="D11" s="23"/>
      <c r="E11" s="23"/>
      <c r="F11" s="23"/>
      <c r="G11" s="23"/>
      <c r="H11" s="23"/>
      <c r="I11" s="24"/>
      <c r="J11" s="25"/>
    </row>
    <row r="12" spans="1:10" x14ac:dyDescent="0.2">
      <c r="A12" s="53"/>
      <c r="B12" s="23"/>
      <c r="C12" s="27"/>
      <c r="D12" s="23"/>
      <c r="E12" s="23"/>
      <c r="F12" s="23"/>
      <c r="G12" s="23"/>
      <c r="H12" s="23"/>
      <c r="I12" s="24"/>
      <c r="J12" s="25"/>
    </row>
    <row r="13" spans="1:10" x14ac:dyDescent="0.2">
      <c r="A13" s="53"/>
      <c r="B13" s="23"/>
      <c r="C13" s="27"/>
      <c r="D13" s="23"/>
      <c r="E13" s="23"/>
      <c r="F13" s="23"/>
      <c r="G13" s="23"/>
      <c r="H13" s="23"/>
      <c r="I13" s="24"/>
      <c r="J13" s="25"/>
    </row>
    <row r="14" spans="1:10" x14ac:dyDescent="0.2">
      <c r="A14" s="53"/>
      <c r="B14" s="23"/>
      <c r="C14" s="27"/>
      <c r="D14" s="23"/>
      <c r="E14" s="23"/>
      <c r="F14" s="23"/>
      <c r="G14" s="23"/>
      <c r="H14" s="23"/>
      <c r="I14" s="24"/>
      <c r="J14" s="25"/>
    </row>
    <row r="15" spans="1:10" x14ac:dyDescent="0.2">
      <c r="A15" s="53"/>
      <c r="B15" s="23"/>
      <c r="C15" s="27"/>
      <c r="D15" s="23"/>
      <c r="E15" s="23"/>
      <c r="F15" s="23"/>
      <c r="G15" s="23"/>
      <c r="H15" s="23"/>
      <c r="I15" s="24"/>
      <c r="J15" s="25"/>
    </row>
    <row r="16" spans="1:10" x14ac:dyDescent="0.2">
      <c r="A16" s="53"/>
      <c r="B16" s="47"/>
      <c r="C16" s="54"/>
      <c r="F16" s="23"/>
      <c r="H16" s="23"/>
      <c r="I16" s="24"/>
      <c r="J16" s="25"/>
    </row>
    <row r="17" spans="1:12" x14ac:dyDescent="0.2">
      <c r="A17" s="53"/>
      <c r="B17" s="23"/>
      <c r="C17" s="27"/>
      <c r="D17" s="23"/>
      <c r="E17" s="23"/>
      <c r="F17" s="23"/>
      <c r="G17" s="23"/>
      <c r="H17" s="23"/>
      <c r="I17" s="24"/>
      <c r="J17" s="25"/>
    </row>
    <row r="18" spans="1:12" x14ac:dyDescent="0.2">
      <c r="A18" s="53"/>
      <c r="B18" s="23"/>
      <c r="C18" s="27"/>
      <c r="D18" s="23"/>
      <c r="E18" s="23"/>
      <c r="F18" s="23"/>
      <c r="G18" s="23"/>
      <c r="H18" s="23"/>
      <c r="I18" s="24"/>
      <c r="J18" s="25"/>
    </row>
    <row r="19" spans="1:12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2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2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2" x14ac:dyDescent="0.2">
      <c r="A24" s="22"/>
      <c r="B24" s="23"/>
      <c r="C24" s="27"/>
      <c r="D24" s="23"/>
      <c r="E24" s="23"/>
      <c r="F24" s="23"/>
      <c r="G24" s="23"/>
      <c r="H24" s="23"/>
      <c r="I24" s="24"/>
      <c r="J24" s="25"/>
    </row>
    <row r="25" spans="1:12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2" ht="13.5" thickBot="1" x14ac:dyDescent="0.25"/>
    <row r="27" spans="1:12" ht="13.5" thickBot="1" x14ac:dyDescent="0.25">
      <c r="A27" s="60" t="s">
        <v>10</v>
      </c>
      <c r="B27" s="61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5" t="str">
        <f>"if exists (select * from dbo.sysobjects where id = object_id(N'[dbo].["&amp;$B$1&amp;"]') and OBJECTPROPERTY(id, N'IsUserTable') = 1)"</f>
        <v>if exists (select * from dbo.sysobjects where id = object_id(N'[dbo].[Merchant_LocationWarehouse]')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 t="str">
        <f>"drop table [dbo].["&amp;$B$1&amp;"]"</f>
        <v>drop table [dbo].[Merchant_LocationWarehouse]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 t="str">
        <f>"CREATE TABLE [dbo].["&amp;$B$1&amp;"] ("</f>
        <v>CREATE TABLE [dbo].[Merchant_LocationWarehouse]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ref="B35:B3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[ma_kho] [varchar] (20)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[ma_gian_hang] [varchar] (20)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[ten_kho] [varchar] (256)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[ten_vi_tri] [varchar] (256)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[mo_ta] [varchar] (4096)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">
        <v>184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/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 t="s">
        <v>12</v>
      </c>
      <c r="B49" s="5"/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 t="s">
        <v>11</v>
      </c>
      <c r="B50" s="5"/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/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 t="str">
        <f>"ALTER TABLE [dbo].["&amp;$B$1&amp;"] ADD"</f>
        <v>ALTER TABLE [dbo].[Merchant_LocationWarehouse] ADD</v>
      </c>
      <c r="B52" s="5"/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 t="str">
        <f>"CONSTRAINT [PK_"&amp;$B$1&amp;"] PRIMARY KEY  CLUSTERED"</f>
        <v>CONSTRAINT [PK_Merchant_LocationWarehouse] PRIMARY KEY  CLUSTERED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 t="s">
        <v>13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9"/>
      <c r="B55" s="5"/>
      <c r="C55" s="5" t="str">
        <f>IF(D4=TRUE, "["&amp;A4&amp;"]"&amp;IF(D5="", "", ", "), "")</f>
        <v xml:space="preserve">[id], </v>
      </c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9"/>
      <c r="B56" s="5"/>
      <c r="C56" s="5" t="str">
        <f t="shared" ref="C56:C57" si="1">IF(D5=TRUE, "["&amp;A5&amp;"]"&amp;IF(D6="", "", ", "), "")</f>
        <v xml:space="preserve">[ma_kho], </v>
      </c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/>
      <c r="B57" s="5"/>
      <c r="C57" s="5" t="str">
        <f t="shared" si="1"/>
        <v xml:space="preserve">[ma_gian_hang], </v>
      </c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/>
      <c r="B58" s="5"/>
      <c r="C58" s="5" t="str">
        <f>IF(D7=TRUE, "["&amp;A7&amp;"]"&amp;IF(D8="", "", ", "), "")</f>
        <v xml:space="preserve">[ten_kho], </v>
      </c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9"/>
      <c r="B59" s="5" t="s">
        <v>14</v>
      </c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ht="13.5" thickBot="1" x14ac:dyDescent="0.25">
      <c r="A60" s="11" t="s">
        <v>11</v>
      </c>
      <c r="B60" s="12"/>
      <c r="C60" s="12"/>
      <c r="D60" s="12"/>
      <c r="E60" s="12"/>
      <c r="F60" s="13"/>
      <c r="G60" s="12"/>
      <c r="H60" s="12"/>
      <c r="I60" s="14"/>
      <c r="J60" s="14"/>
      <c r="K60" s="12"/>
      <c r="L60" s="15"/>
    </row>
    <row r="61" spans="1:12" x14ac:dyDescent="0.2">
      <c r="A61" s="2"/>
      <c r="B61" s="2"/>
      <c r="C61" s="2"/>
      <c r="D61" s="2"/>
      <c r="E61" s="2"/>
      <c r="F61" s="3"/>
      <c r="G61" s="2"/>
      <c r="H61" s="2"/>
      <c r="I61" s="4"/>
      <c r="J61" s="4"/>
      <c r="K61" s="2"/>
      <c r="L61" s="2"/>
    </row>
    <row r="62" spans="1:12" x14ac:dyDescent="0.2">
      <c r="C62" t="s">
        <v>44</v>
      </c>
    </row>
    <row r="63" spans="1:12" x14ac:dyDescent="0.2">
      <c r="A63" s="37" t="s">
        <v>45</v>
      </c>
      <c r="B63" s="37" t="str">
        <f>B1</f>
        <v>Merchant_LocationWarehouse</v>
      </c>
      <c r="C63" s="37"/>
    </row>
    <row r="64" spans="1:12" x14ac:dyDescent="0.2">
      <c r="A64" s="37" t="s">
        <v>46</v>
      </c>
      <c r="B64" s="37"/>
      <c r="C64" s="37"/>
    </row>
    <row r="65" spans="1:3" x14ac:dyDescent="0.2">
      <c r="A65" s="37"/>
      <c r="B65" s="37" t="s">
        <v>47</v>
      </c>
      <c r="C65" s="37"/>
    </row>
    <row r="66" spans="1:3" x14ac:dyDescent="0.2">
      <c r="A66" s="37"/>
      <c r="B66" s="37" t="s">
        <v>48</v>
      </c>
      <c r="C66" s="37"/>
    </row>
    <row r="67" spans="1:3" x14ac:dyDescent="0.2">
      <c r="A67" s="37" t="s">
        <v>49</v>
      </c>
      <c r="B67" s="37" t="str">
        <f>IF(OR($B4="nvarchar",$B4="varchar"),"string",IF($B4="datetime","DateTime",$B4))</f>
        <v>int</v>
      </c>
      <c r="C67" s="37" t="str">
        <f>A4&amp;" "&amp;$C$62</f>
        <v>id  { get; set; }</v>
      </c>
    </row>
    <row r="68" spans="1:3" x14ac:dyDescent="0.2">
      <c r="A68" s="37" t="s">
        <v>49</v>
      </c>
      <c r="B68" s="37" t="str">
        <f t="shared" ref="B68:B81" si="2">IF(OR($B5="nvarchar",$B5="varchar"),"string",IF($B5="datetime","DateTime",$B5))</f>
        <v>string</v>
      </c>
      <c r="C68" s="37" t="str">
        <f t="shared" ref="C68:C81" si="3">A5&amp;" "&amp;$C$62</f>
        <v>ma_kho  { get; set; }</v>
      </c>
    </row>
    <row r="69" spans="1:3" x14ac:dyDescent="0.2">
      <c r="A69" s="37" t="s">
        <v>49</v>
      </c>
      <c r="B69" s="37" t="str">
        <f t="shared" si="2"/>
        <v>string</v>
      </c>
      <c r="C69" s="37" t="str">
        <f t="shared" si="3"/>
        <v>ma_gian_hang  { get; set; }</v>
      </c>
    </row>
    <row r="70" spans="1:3" x14ac:dyDescent="0.2">
      <c r="A70" s="37" t="s">
        <v>49</v>
      </c>
      <c r="B70" s="37" t="str">
        <f t="shared" si="2"/>
        <v>string</v>
      </c>
      <c r="C70" s="37" t="str">
        <f t="shared" si="3"/>
        <v>ten_kho  { get; set; }</v>
      </c>
    </row>
    <row r="71" spans="1:3" x14ac:dyDescent="0.2">
      <c r="A71" s="37" t="s">
        <v>49</v>
      </c>
      <c r="B71" s="37" t="str">
        <f t="shared" si="2"/>
        <v>string</v>
      </c>
      <c r="C71" s="37" t="str">
        <f t="shared" si="3"/>
        <v>ten_vi_tri  { get; set; }</v>
      </c>
    </row>
    <row r="72" spans="1:3" x14ac:dyDescent="0.2">
      <c r="A72" s="37" t="s">
        <v>49</v>
      </c>
      <c r="B72" s="37" t="str">
        <f t="shared" si="2"/>
        <v>string</v>
      </c>
      <c r="C72" s="37" t="str">
        <f t="shared" si="3"/>
        <v>mo_ta  { get; set; }</v>
      </c>
    </row>
    <row r="73" spans="1:3" x14ac:dyDescent="0.2">
      <c r="A73" s="37" t="s">
        <v>49</v>
      </c>
      <c r="B73" s="37" t="str">
        <f t="shared" si="2"/>
        <v>string</v>
      </c>
      <c r="C73" s="37" t="str">
        <f t="shared" si="3"/>
        <v>trang_thai  { get; set; }</v>
      </c>
    </row>
    <row r="74" spans="1:3" x14ac:dyDescent="0.2">
      <c r="A74" s="37" t="s">
        <v>49</v>
      </c>
      <c r="B74" s="37">
        <f t="shared" si="2"/>
        <v>0</v>
      </c>
      <c r="C74" s="37" t="str">
        <f t="shared" si="3"/>
        <v xml:space="preserve">  { get; set; }</v>
      </c>
    </row>
    <row r="75" spans="1:3" x14ac:dyDescent="0.2">
      <c r="A75" s="37" t="s">
        <v>49</v>
      </c>
      <c r="B75" s="37">
        <f t="shared" si="2"/>
        <v>0</v>
      </c>
      <c r="C75" s="37" t="str">
        <f t="shared" si="3"/>
        <v xml:space="preserve">  { get; set; }</v>
      </c>
    </row>
    <row r="76" spans="1:3" x14ac:dyDescent="0.2">
      <c r="A76" s="37" t="s">
        <v>49</v>
      </c>
      <c r="B76" s="37">
        <f t="shared" si="2"/>
        <v>0</v>
      </c>
      <c r="C76" s="37" t="str">
        <f t="shared" si="3"/>
        <v xml:space="preserve">  { get; set; }</v>
      </c>
    </row>
    <row r="77" spans="1:3" x14ac:dyDescent="0.2">
      <c r="A77" s="37" t="s">
        <v>49</v>
      </c>
      <c r="B77" s="37">
        <f t="shared" si="2"/>
        <v>0</v>
      </c>
      <c r="C77" s="37" t="str">
        <f t="shared" si="3"/>
        <v xml:space="preserve">  { get; set; }</v>
      </c>
    </row>
    <row r="78" spans="1:3" x14ac:dyDescent="0.2">
      <c r="A78" s="37" t="s">
        <v>49</v>
      </c>
      <c r="B78" s="37">
        <f t="shared" si="2"/>
        <v>0</v>
      </c>
      <c r="C78" s="37" t="str">
        <f t="shared" si="3"/>
        <v xml:space="preserve">  { get; set; }</v>
      </c>
    </row>
    <row r="79" spans="1:3" x14ac:dyDescent="0.2">
      <c r="A79" s="37" t="s">
        <v>49</v>
      </c>
      <c r="B79" s="37">
        <f t="shared" si="2"/>
        <v>0</v>
      </c>
      <c r="C79" s="37" t="str">
        <f t="shared" si="3"/>
        <v xml:space="preserve">  { get; set; }</v>
      </c>
    </row>
    <row r="80" spans="1:3" x14ac:dyDescent="0.2">
      <c r="A80" s="37" t="s">
        <v>49</v>
      </c>
      <c r="B80" s="37">
        <f t="shared" si="2"/>
        <v>0</v>
      </c>
      <c r="C80" s="37" t="str">
        <f t="shared" si="3"/>
        <v xml:space="preserve">  { get; set; }</v>
      </c>
    </row>
    <row r="81" spans="1:3" x14ac:dyDescent="0.2">
      <c r="A81" s="37" t="s">
        <v>49</v>
      </c>
      <c r="B81" s="37">
        <f t="shared" si="2"/>
        <v>0</v>
      </c>
      <c r="C81" s="37" t="str">
        <f t="shared" si="3"/>
        <v xml:space="preserve">  { get; set; }</v>
      </c>
    </row>
    <row r="82" spans="1:3" x14ac:dyDescent="0.2">
      <c r="A82" s="37" t="s">
        <v>50</v>
      </c>
      <c r="B82" s="37"/>
      <c r="C82" s="37" t="str">
        <f>IF($B27="nvarchar","("&amp;$C$5&amp;")",IF($B27="varchar","("&amp;$C27&amp;")",""))</f>
        <v/>
      </c>
    </row>
    <row r="84" spans="1:3" x14ac:dyDescent="0.2">
      <c r="A84" s="37" t="s">
        <v>72</v>
      </c>
    </row>
    <row r="85" spans="1:3" s="41" customFormat="1" x14ac:dyDescent="0.2">
      <c r="A85" s="40" t="str">
        <f>"DROP TABLE IF EXISTS "&amp;$B$1&amp;";"</f>
        <v>DROP TABLE IF EXISTS Merchant_LocationWarehouse;</v>
      </c>
    </row>
    <row r="86" spans="1:3" s="41" customFormat="1" x14ac:dyDescent="0.2">
      <c r="A86" s="42" t="str">
        <f>"CREATE TABLE "&amp;$B$1&amp;"("</f>
        <v>CREATE TABLE Merchant_LocationWarehouse(</v>
      </c>
    </row>
    <row r="87" spans="1:3" s="41" customFormat="1" x14ac:dyDescent="0.2">
      <c r="B87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8" spans="1:3" s="41" customFormat="1" x14ac:dyDescent="0.2">
      <c r="B88" s="41" t="str">
        <f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ma_kho varchar(20) NOT NULL, </v>
      </c>
    </row>
    <row r="89" spans="1:3" s="41" customFormat="1" x14ac:dyDescent="0.2">
      <c r="B89" s="41" t="str">
        <f>A6&amp;" "&amp;B6&amp;IF(AND(B6&lt;&gt;"int",B6&lt;&gt;"bigint",B6&lt;&gt;"bit",B6&lt;&gt;"float",B6&lt;&gt;"datetime",B6&lt;&gt;"smalldatetime",B6&lt;&gt;"timestamp",B6&lt;&gt;"xml"),"("&amp;C6&amp;") "," ")&amp;""&amp;IF(F6=FALSE,"NOT NULL","NULL")&amp;IF(G6&lt;&gt;""," DEFAULT ("&amp;G6&amp;")","")&amp;IF(H6=TRUE," AUTO_INCREMENT","")&amp;IF(A7&lt;&gt;"",", ","")</f>
        <v xml:space="preserve">ma_gian_hang varchar(20) NOT NULL, </v>
      </c>
    </row>
    <row r="90" spans="1:3" s="41" customFormat="1" x14ac:dyDescent="0.2"/>
    <row r="91" spans="1:3" s="41" customFormat="1" x14ac:dyDescent="0.2"/>
    <row r="92" spans="1:3" s="41" customFormat="1" x14ac:dyDescent="0.2"/>
    <row r="93" spans="1:3" s="41" customFormat="1" x14ac:dyDescent="0.2"/>
    <row r="94" spans="1:3" s="41" customFormat="1" x14ac:dyDescent="0.2"/>
    <row r="95" spans="1:3" s="41" customFormat="1" x14ac:dyDescent="0.2"/>
    <row r="96" spans="1:3" s="41" customFormat="1" x14ac:dyDescent="0.2">
      <c r="B96" s="41" t="str">
        <f t="shared" ref="B96:B101" si="4">A12&amp;" "&amp;B12&amp;IF(AND(B12&lt;&gt;"int",B12&lt;&gt;"bigint",B12&lt;&gt;"bit",B12&lt;&gt;"float",B12&lt;&gt;"datetime",B12&lt;&gt;"smalldatetime",B12&lt;&gt;"timestamp",B12&lt;&gt;"xml"),"("&amp;C12&amp;") "," ")&amp;""&amp;IF(F12=FALSE,"NOT NULL","NULL")&amp;IF(G12&lt;&gt;""," DEFAULT ("&amp;G12&amp;")","")&amp;IF(H12=TRUE," AUTO_INCREMENT","")&amp;IF(A13&lt;&gt;"",", ","")</f>
        <v xml:space="preserve"> () NOT NULL</v>
      </c>
    </row>
    <row r="97" spans="1:2" s="41" customFormat="1" x14ac:dyDescent="0.2">
      <c r="B97" s="41" t="str">
        <f t="shared" si="4"/>
        <v xml:space="preserve"> () NOT NULL</v>
      </c>
    </row>
    <row r="98" spans="1:2" s="41" customFormat="1" x14ac:dyDescent="0.2">
      <c r="B98" s="41" t="str">
        <f t="shared" si="4"/>
        <v xml:space="preserve"> () NOT NULL</v>
      </c>
    </row>
    <row r="99" spans="1:2" s="41" customFormat="1" x14ac:dyDescent="0.2">
      <c r="B99" s="41" t="str">
        <f t="shared" si="4"/>
        <v xml:space="preserve"> () NOT NULL</v>
      </c>
    </row>
    <row r="100" spans="1:2" s="41" customFormat="1" x14ac:dyDescent="0.2">
      <c r="B100" s="41" t="str">
        <f t="shared" si="4"/>
        <v xml:space="preserve"> () NOT NULL</v>
      </c>
    </row>
    <row r="101" spans="1:2" s="41" customFormat="1" x14ac:dyDescent="0.2">
      <c r="B101" s="41" t="str">
        <f t="shared" si="4"/>
        <v xml:space="preserve"> () NOT NULL</v>
      </c>
    </row>
    <row r="102" spans="1:2" s="41" customFormat="1" x14ac:dyDescent="0.2">
      <c r="B102" s="41" t="str">
        <f>A18&amp;" "&amp;B18&amp;IF(AND(B18&lt;&gt;"int",B18&lt;&gt;"bigint",B18&lt;&gt;"bit",B18&lt;&gt;"float",B18&lt;&gt;"datetime",B18&lt;&gt;"smalldatetime",B18&lt;&gt;"timestamp",B18&lt;&gt;"xml"),"("&amp;C18&amp;") "," ")&amp;""&amp;IF(F18=FALSE,"NOT NULL","NULL")&amp;IF(G18&lt;&gt;""," DEFAULT ("&amp;G18&amp;")","")&amp;IF(H18=TRUE," AUTO_INCREMENT","")&amp;IF(A9&lt;&gt;"",", ","")</f>
        <v xml:space="preserve"> () NOT NULL, </v>
      </c>
    </row>
    <row r="103" spans="1:2" s="41" customFormat="1" x14ac:dyDescent="0.2">
      <c r="B103" s="41" t="str">
        <f>A9&amp;" "&amp;B9&amp;IF(AND(B9&lt;&gt;"int",B9&lt;&gt;"bigint",B9&lt;&gt;"bit",B9&lt;&gt;"float",B9&lt;&gt;"datetime",B9&lt;&gt;"smalldatetime",B9&lt;&gt;"timestamp",B9&lt;&gt;"xml"),"("&amp;C9&amp;") "," ")&amp;""&amp;IF(F9=FALSE,"NOT NULL","NULL")&amp;IF(G9&lt;&gt;""," DEFAULT ("&amp;G9&amp;")","")&amp;IF(H9=TRUE," AUTO_INCREMENT","")&amp;IF(A10&lt;&gt;"",", ","")</f>
        <v xml:space="preserve">mo_ta varchar(4096) NULL, </v>
      </c>
    </row>
    <row r="104" spans="1:2" s="41" customFormat="1" x14ac:dyDescent="0.2">
      <c r="B104" s="41" t="str">
        <f>A10&amp;" "&amp;B10&amp;IF(AND(B10&lt;&gt;"int",B10&lt;&gt;"bigint",B10&lt;&gt;"bit",B10&lt;&gt;"float",B10&lt;&gt;"datetime",B10&lt;&gt;"smalldatetime",B10&lt;&gt;"timestamp",B10&lt;&gt;"xml"),"("&amp;C10&amp;") "," ")&amp;""&amp;IF(F10=FALSE,"NOT NULL","NULL")&amp;IF(G10&lt;&gt;""," DEFAULT ("&amp;G10&amp;")","")&amp;IF(H10=TRUE," AUTO_INCREMENT","")&amp;IF(A11&lt;&gt;"",", ","")</f>
        <v>trang_thai varchar(2) NOT NULL</v>
      </c>
    </row>
    <row r="105" spans="1:2" s="41" customFormat="1" x14ac:dyDescent="0.2">
      <c r="B105" s="41" t="e">
        <f>A11&amp;" "&amp;B11&amp;IF(AND(B11&lt;&gt;"int",B11&lt;&gt;"bigint",B11&lt;&gt;"bit",B11&lt;&gt;"float",B11&lt;&gt;"datetime",B11&lt;&gt;"smalldatetime",B11&lt;&gt;"timestamp",B11&lt;&gt;"xml"),"("&amp;C11&amp;") "," ")&amp;""&amp;IF(F11=FALSE,"NOT NULL","NULL")&amp;IF(G11&lt;&gt;""," DEFAULT ("&amp;G11&amp;")","")&amp;IF(H11=TRUE," AUTO_INCREMENT","")&amp;IF(#REF!&lt;&gt;"",", ","")</f>
        <v>#REF!</v>
      </c>
    </row>
    <row r="106" spans="1:2" s="41" customFormat="1" x14ac:dyDescent="0.2">
      <c r="B106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AUTO_INCREMENT","")&amp;IF(A19&lt;&gt;"",", ","")</f>
        <v>#REF!</v>
      </c>
    </row>
    <row r="107" spans="1:2" s="41" customFormat="1" x14ac:dyDescent="0.2">
      <c r="A107" s="41" t="s">
        <v>74</v>
      </c>
    </row>
    <row r="108" spans="1:2" s="41" customFormat="1" x14ac:dyDescent="0.2">
      <c r="B108" s="5" t="str">
        <f>IF(D4=TRUE, A4&amp;IF(D5="", "", ", "), "")</f>
        <v xml:space="preserve">id, </v>
      </c>
    </row>
    <row r="109" spans="1:2" s="41" customFormat="1" x14ac:dyDescent="0.2">
      <c r="B109" s="5" t="str">
        <f t="shared" ref="B109:B110" si="5">IF(D5=TRUE, A5&amp;IF(D6="", "", ", "), "")</f>
        <v xml:space="preserve">ma_kho, </v>
      </c>
    </row>
    <row r="110" spans="1:2" s="41" customFormat="1" x14ac:dyDescent="0.2">
      <c r="B110" s="5" t="str">
        <f t="shared" si="5"/>
        <v xml:space="preserve">ma_gian_hang, </v>
      </c>
    </row>
    <row r="111" spans="1:2" s="41" customFormat="1" x14ac:dyDescent="0.2">
      <c r="B111" s="41" t="s">
        <v>75</v>
      </c>
    </row>
    <row r="112" spans="1:2" s="41" customFormat="1" x14ac:dyDescent="0.2">
      <c r="A112" s="41" t="s">
        <v>73</v>
      </c>
    </row>
    <row r="113" s="41" customFormat="1" x14ac:dyDescent="0.2"/>
    <row r="114" s="41" customFormat="1" x14ac:dyDescent="0.2"/>
    <row r="115" s="41" customFormat="1" x14ac:dyDescent="0.2"/>
    <row r="116" s="41" customFormat="1" x14ac:dyDescent="0.2"/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236"/>
  <sheetViews>
    <sheetView workbookViewId="0">
      <selection activeCell="C59" sqref="C59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53" t="s">
        <v>185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53" t="s">
        <v>155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53" t="s">
        <v>26</v>
      </c>
      <c r="B6" s="23" t="s">
        <v>7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x14ac:dyDescent="0.2">
      <c r="A7" s="53" t="s">
        <v>168</v>
      </c>
      <c r="B7" s="23" t="s">
        <v>7</v>
      </c>
      <c r="C7" s="27">
        <v>256</v>
      </c>
      <c r="D7" s="23" t="b">
        <v>1</v>
      </c>
      <c r="E7" s="23"/>
      <c r="F7" s="23" t="b">
        <v>0</v>
      </c>
      <c r="G7" s="23"/>
      <c r="H7" s="23"/>
      <c r="I7" s="24"/>
      <c r="J7" s="25"/>
    </row>
    <row r="8" spans="1:10" x14ac:dyDescent="0.2">
      <c r="A8" s="53" t="s">
        <v>183</v>
      </c>
      <c r="B8" s="23" t="s">
        <v>7</v>
      </c>
      <c r="C8" s="27">
        <v>256</v>
      </c>
      <c r="D8" s="23" t="b">
        <v>1</v>
      </c>
      <c r="E8" s="23"/>
      <c r="F8" s="23" t="b">
        <v>0</v>
      </c>
      <c r="G8" s="23"/>
      <c r="H8" s="23"/>
      <c r="I8" s="24"/>
      <c r="J8" s="25"/>
    </row>
    <row r="9" spans="1:10" x14ac:dyDescent="0.2">
      <c r="A9" s="53" t="s">
        <v>52</v>
      </c>
      <c r="B9" s="23" t="s">
        <v>7</v>
      </c>
      <c r="C9" s="27">
        <v>20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53" t="s">
        <v>186</v>
      </c>
      <c r="B10" s="23" t="s">
        <v>19</v>
      </c>
      <c r="C10" s="27"/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53" t="s">
        <v>187</v>
      </c>
      <c r="B11" s="23" t="s">
        <v>7</v>
      </c>
      <c r="C11" s="27">
        <v>10</v>
      </c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53"/>
      <c r="B12" s="23"/>
      <c r="C12" s="27"/>
      <c r="D12" s="23"/>
      <c r="E12" s="23"/>
      <c r="F12" s="23"/>
      <c r="G12" s="23"/>
      <c r="H12" s="23"/>
      <c r="I12" s="24"/>
      <c r="J12" s="25"/>
    </row>
    <row r="13" spans="1:10" x14ac:dyDescent="0.2">
      <c r="A13" s="53"/>
      <c r="B13" s="23"/>
      <c r="C13" s="27"/>
      <c r="D13" s="23"/>
      <c r="E13" s="23"/>
      <c r="F13" s="23"/>
      <c r="G13" s="23"/>
      <c r="H13" s="23"/>
      <c r="I13" s="24"/>
      <c r="J13" s="25"/>
    </row>
    <row r="14" spans="1:10" x14ac:dyDescent="0.2">
      <c r="A14" s="53"/>
      <c r="B14" s="23"/>
      <c r="C14" s="27"/>
      <c r="D14" s="23"/>
      <c r="E14" s="23"/>
      <c r="F14" s="23"/>
      <c r="G14" s="23"/>
      <c r="H14" s="23"/>
      <c r="I14" s="24"/>
      <c r="J14" s="25"/>
    </row>
    <row r="15" spans="1:10" x14ac:dyDescent="0.2">
      <c r="A15" s="53"/>
      <c r="B15" s="23"/>
      <c r="C15" s="27"/>
      <c r="D15" s="23"/>
      <c r="E15" s="23"/>
      <c r="F15" s="23"/>
      <c r="G15" s="23"/>
      <c r="H15" s="23"/>
      <c r="I15" s="24"/>
      <c r="J15" s="25"/>
    </row>
    <row r="16" spans="1:10" x14ac:dyDescent="0.2">
      <c r="A16" s="53"/>
      <c r="B16" s="47"/>
      <c r="C16" s="54"/>
      <c r="F16" s="23"/>
      <c r="H16" s="23"/>
      <c r="I16" s="24"/>
      <c r="J16" s="25"/>
    </row>
    <row r="17" spans="1:12" x14ac:dyDescent="0.2">
      <c r="A17" s="53"/>
      <c r="B17" s="23"/>
      <c r="C17" s="27"/>
      <c r="D17" s="23"/>
      <c r="E17" s="23"/>
      <c r="F17" s="23"/>
      <c r="G17" s="23"/>
      <c r="H17" s="23"/>
      <c r="I17" s="24"/>
      <c r="J17" s="25"/>
    </row>
    <row r="18" spans="1:12" x14ac:dyDescent="0.2">
      <c r="A18" s="53"/>
      <c r="B18" s="23"/>
      <c r="C18" s="27"/>
      <c r="D18" s="23"/>
      <c r="E18" s="23"/>
      <c r="F18" s="23"/>
      <c r="G18" s="23"/>
      <c r="H18" s="23"/>
      <c r="I18" s="24"/>
      <c r="J18" s="25"/>
    </row>
    <row r="19" spans="1:12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2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2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2" x14ac:dyDescent="0.2">
      <c r="A24" s="22"/>
      <c r="B24" s="23"/>
      <c r="C24" s="27"/>
      <c r="D24" s="23"/>
      <c r="E24" s="23"/>
      <c r="F24" s="23"/>
      <c r="G24" s="23"/>
      <c r="H24" s="23"/>
      <c r="I24" s="24"/>
      <c r="J24" s="25"/>
    </row>
    <row r="25" spans="1:12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2" ht="13.5" thickBot="1" x14ac:dyDescent="0.25"/>
    <row r="27" spans="1:12" ht="13.5" thickBot="1" x14ac:dyDescent="0.25">
      <c r="A27" s="60" t="s">
        <v>10</v>
      </c>
      <c r="B27" s="61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5" t="str">
        <f>"if exists (select * from dbo.sysobjects where id = object_id(N'[dbo].["&amp;$B$1&amp;"]') and OBJECTPROPERTY(id, N'IsUserTable') = 1)"</f>
        <v>if exists (select * from dbo.sysobjects where id = object_id(N'[dbo].[Merchant_DetailLocation]')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 t="str">
        <f>"drop table [dbo].["&amp;$B$1&amp;"]"</f>
        <v>drop table [dbo].[Merchant_DetailLocation]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 t="str">
        <f>"CREATE TABLE [dbo].["&amp;$B$1&amp;"] ("</f>
        <v>CREATE TABLE [dbo].[Merchant_DetailLocation]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ref="B35:B3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[ma_kho] [varchar] (20)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[ma_gian_hang] [varchar] (20)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[ten_kho] [varchar] (256)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[ten_vi_tri] [varchar] (256)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[ma_san_pham] [varchar] (20)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">
        <v>189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">
        <v>188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/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 t="s">
        <v>12</v>
      </c>
      <c r="B49" s="5"/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 t="s">
        <v>11</v>
      </c>
      <c r="B50" s="5"/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/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 t="str">
        <f>"ALTER TABLE [dbo].["&amp;$B$1&amp;"] ADD"</f>
        <v>ALTER TABLE [dbo].[Merchant_DetailLocation] ADD</v>
      </c>
      <c r="B52" s="5"/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 t="str">
        <f>"CONSTRAINT [PK_"&amp;$B$1&amp;"] PRIMARY KEY  CLUSTERED"</f>
        <v>CONSTRAINT [PK_Merchant_DetailLocation] PRIMARY KEY  CLUSTERED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 t="s">
        <v>13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9"/>
      <c r="B55" s="5"/>
      <c r="C55" s="5" t="str">
        <f>IF(D4=TRUE, "["&amp;A4&amp;"]"&amp;IF(D5="", "", ", "), "")</f>
        <v xml:space="preserve">[id], </v>
      </c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9"/>
      <c r="B56" s="5"/>
      <c r="C56" s="5" t="str">
        <f t="shared" ref="C56:C57" si="1">IF(D5=TRUE, "["&amp;A5&amp;"]"&amp;IF(D6="", "", ", "), "")</f>
        <v xml:space="preserve">[ma_kho], </v>
      </c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/>
      <c r="B57" s="5"/>
      <c r="C57" s="5" t="str">
        <f t="shared" si="1"/>
        <v xml:space="preserve">[ma_gian_hang], </v>
      </c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/>
      <c r="B58" s="5"/>
      <c r="C58" s="5" t="s">
        <v>190</v>
      </c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9"/>
      <c r="B59" s="5"/>
      <c r="C59" s="5" t="s">
        <v>191</v>
      </c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">
      <c r="A60" s="9"/>
      <c r="B60" s="5" t="s">
        <v>14</v>
      </c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ht="13.5" thickBot="1" x14ac:dyDescent="0.25">
      <c r="A61" s="11" t="s">
        <v>11</v>
      </c>
      <c r="B61" s="12"/>
      <c r="C61" s="12"/>
      <c r="D61" s="12"/>
      <c r="E61" s="12"/>
      <c r="F61" s="13"/>
      <c r="G61" s="12"/>
      <c r="H61" s="12"/>
      <c r="I61" s="14"/>
      <c r="J61" s="14"/>
      <c r="K61" s="12"/>
      <c r="L61" s="15"/>
    </row>
    <row r="62" spans="1:12" x14ac:dyDescent="0.2">
      <c r="A62" s="2"/>
      <c r="B62" s="2"/>
      <c r="C62" s="2"/>
      <c r="D62" s="2"/>
      <c r="E62" s="2"/>
      <c r="F62" s="3"/>
      <c r="G62" s="2"/>
      <c r="H62" s="2"/>
      <c r="I62" s="4"/>
      <c r="J62" s="4"/>
      <c r="K62" s="2"/>
      <c r="L62" s="2"/>
    </row>
    <row r="63" spans="1:12" x14ac:dyDescent="0.2">
      <c r="C63" t="s">
        <v>44</v>
      </c>
    </row>
    <row r="64" spans="1:12" x14ac:dyDescent="0.2">
      <c r="A64" s="37" t="s">
        <v>45</v>
      </c>
      <c r="B64" s="37" t="str">
        <f>B1</f>
        <v>Merchant_DetailLocation</v>
      </c>
      <c r="C64" s="37"/>
    </row>
    <row r="65" spans="1:3" x14ac:dyDescent="0.2">
      <c r="A65" s="37" t="s">
        <v>46</v>
      </c>
      <c r="B65" s="37"/>
      <c r="C65" s="37"/>
    </row>
    <row r="66" spans="1:3" x14ac:dyDescent="0.2">
      <c r="A66" s="37"/>
      <c r="B66" s="37" t="s">
        <v>47</v>
      </c>
      <c r="C66" s="37"/>
    </row>
    <row r="67" spans="1:3" x14ac:dyDescent="0.2">
      <c r="A67" s="37"/>
      <c r="B67" s="37" t="s">
        <v>48</v>
      </c>
      <c r="C67" s="37"/>
    </row>
    <row r="68" spans="1:3" x14ac:dyDescent="0.2">
      <c r="A68" s="37" t="s">
        <v>49</v>
      </c>
      <c r="B68" s="37" t="str">
        <f t="shared" ref="B68:B75" si="2">IF(OR($B4="nvarchar",$B4="varchar"),"string",IF($B4="datetime","DateTime",$B4))</f>
        <v>int</v>
      </c>
      <c r="C68" s="37" t="str">
        <f>A4&amp;" "&amp;$C$63</f>
        <v>id  { get; set; }</v>
      </c>
    </row>
    <row r="69" spans="1:3" x14ac:dyDescent="0.2">
      <c r="A69" s="37" t="s">
        <v>49</v>
      </c>
      <c r="B69" s="37" t="str">
        <f t="shared" si="2"/>
        <v>string</v>
      </c>
      <c r="C69" s="37" t="str">
        <f t="shared" ref="C69:C75" si="3">A5&amp;" "&amp;$C$63</f>
        <v>ma_kho  { get; set; }</v>
      </c>
    </row>
    <row r="70" spans="1:3" x14ac:dyDescent="0.2">
      <c r="A70" s="37" t="s">
        <v>49</v>
      </c>
      <c r="B70" s="37" t="str">
        <f t="shared" si="2"/>
        <v>string</v>
      </c>
      <c r="C70" s="37" t="str">
        <f t="shared" si="3"/>
        <v>ma_gian_hang  { get; set; }</v>
      </c>
    </row>
    <row r="71" spans="1:3" x14ac:dyDescent="0.2">
      <c r="A71" s="37" t="s">
        <v>49</v>
      </c>
      <c r="B71" s="37" t="str">
        <f t="shared" si="2"/>
        <v>string</v>
      </c>
      <c r="C71" s="37" t="str">
        <f t="shared" si="3"/>
        <v>ten_kho  { get; set; }</v>
      </c>
    </row>
    <row r="72" spans="1:3" x14ac:dyDescent="0.2">
      <c r="A72" s="37" t="s">
        <v>49</v>
      </c>
      <c r="B72" s="37" t="str">
        <f t="shared" si="2"/>
        <v>string</v>
      </c>
      <c r="C72" s="37" t="str">
        <f t="shared" si="3"/>
        <v>ten_vi_tri  { get; set; }</v>
      </c>
    </row>
    <row r="73" spans="1:3" x14ac:dyDescent="0.2">
      <c r="A73" s="37" t="s">
        <v>49</v>
      </c>
      <c r="B73" s="37" t="str">
        <f t="shared" si="2"/>
        <v>string</v>
      </c>
      <c r="C73" s="37" t="str">
        <f t="shared" si="3"/>
        <v>ma_san_pham  { get; set; }</v>
      </c>
    </row>
    <row r="74" spans="1:3" x14ac:dyDescent="0.2">
      <c r="A74" s="37" t="s">
        <v>49</v>
      </c>
      <c r="B74" s="37" t="str">
        <f t="shared" si="2"/>
        <v>int</v>
      </c>
      <c r="C74" s="37" t="str">
        <f t="shared" si="3"/>
        <v>so_luong  { get; set; }</v>
      </c>
    </row>
    <row r="75" spans="1:3" x14ac:dyDescent="0.2">
      <c r="A75" s="37" t="s">
        <v>49</v>
      </c>
      <c r="B75" s="37" t="str">
        <f t="shared" si="2"/>
        <v>string</v>
      </c>
      <c r="C75" s="37" t="str">
        <f t="shared" si="3"/>
        <v>don_vi  { get; set; }</v>
      </c>
    </row>
    <row r="76" spans="1:3" x14ac:dyDescent="0.2">
      <c r="A76" s="37"/>
      <c r="B76" s="37"/>
      <c r="C76" s="37"/>
    </row>
    <row r="77" spans="1:3" x14ac:dyDescent="0.2">
      <c r="A77" s="37"/>
      <c r="B77" s="37"/>
      <c r="C77" s="37"/>
    </row>
    <row r="78" spans="1:3" x14ac:dyDescent="0.2">
      <c r="A78" s="37"/>
      <c r="B78" s="37"/>
      <c r="C78" s="37"/>
    </row>
    <row r="79" spans="1:3" x14ac:dyDescent="0.2">
      <c r="A79" s="37"/>
      <c r="B79" s="37"/>
      <c r="C79" s="37"/>
    </row>
    <row r="80" spans="1:3" x14ac:dyDescent="0.2">
      <c r="A80" s="37"/>
      <c r="B80" s="37"/>
      <c r="C80" s="37"/>
    </row>
    <row r="81" spans="1:31" x14ac:dyDescent="0.2">
      <c r="A81" s="37"/>
      <c r="B81" s="37"/>
      <c r="C81" s="37"/>
    </row>
    <row r="82" spans="1:31" x14ac:dyDescent="0.2">
      <c r="A82" s="37"/>
      <c r="B82" s="37"/>
      <c r="C82" s="37"/>
    </row>
    <row r="83" spans="1:31" x14ac:dyDescent="0.2">
      <c r="A83" s="37" t="s">
        <v>50</v>
      </c>
      <c r="B83" s="37"/>
      <c r="C83" s="37" t="str">
        <f>IF($B27="nvarchar","("&amp;$C$5&amp;")",IF($B27="varchar","("&amp;$C27&amp;")",""))</f>
        <v/>
      </c>
    </row>
    <row r="85" spans="1:31" x14ac:dyDescent="0.2">
      <c r="A85" s="37"/>
    </row>
    <row r="86" spans="1:31" s="41" customFormat="1" x14ac:dyDescent="0.2">
      <c r="A86" s="55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</row>
    <row r="87" spans="1:31" s="41" customFormat="1" x14ac:dyDescent="0.2">
      <c r="A87" s="57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</row>
    <row r="88" spans="1:31" s="41" customFormat="1" x14ac:dyDescent="0.2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</row>
    <row r="89" spans="1:31" s="41" customFormat="1" x14ac:dyDescent="0.2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</row>
    <row r="90" spans="1:31" s="41" customFormat="1" x14ac:dyDescent="0.2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</row>
    <row r="91" spans="1:31" s="41" customFormat="1" x14ac:dyDescent="0.2">
      <c r="A91" s="56"/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</row>
    <row r="92" spans="1:31" s="41" customFormat="1" x14ac:dyDescent="0.2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</row>
    <row r="93" spans="1:31" s="41" customFormat="1" x14ac:dyDescent="0.2">
      <c r="A93" s="56"/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</row>
    <row r="94" spans="1:31" s="41" customFormat="1" x14ac:dyDescent="0.2">
      <c r="A94" s="56"/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</row>
    <row r="95" spans="1:31" s="41" customFormat="1" x14ac:dyDescent="0.2">
      <c r="A95" s="56"/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</row>
    <row r="96" spans="1:31" s="41" customFormat="1" x14ac:dyDescent="0.2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</row>
    <row r="97" spans="1:31" s="41" customFormat="1" x14ac:dyDescent="0.2">
      <c r="A97" s="56"/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</row>
    <row r="98" spans="1:31" s="41" customFormat="1" x14ac:dyDescent="0.2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</row>
    <row r="99" spans="1:31" s="41" customFormat="1" x14ac:dyDescent="0.2">
      <c r="A99" s="56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</row>
    <row r="100" spans="1:31" s="41" customFormat="1" x14ac:dyDescent="0.2">
      <c r="A100" s="56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</row>
    <row r="101" spans="1:31" s="41" customFormat="1" x14ac:dyDescent="0.2">
      <c r="A101" s="56"/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</row>
    <row r="102" spans="1:31" s="41" customFormat="1" x14ac:dyDescent="0.2">
      <c r="A102" s="56"/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</row>
    <row r="103" spans="1:31" s="41" customFormat="1" x14ac:dyDescent="0.2">
      <c r="A103" s="56"/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</row>
    <row r="104" spans="1:31" s="41" customFormat="1" x14ac:dyDescent="0.2">
      <c r="A104" s="56"/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</row>
    <row r="105" spans="1:31" s="41" customFormat="1" x14ac:dyDescent="0.2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</row>
    <row r="106" spans="1:31" s="41" customFormat="1" x14ac:dyDescent="0.2">
      <c r="A106" s="56"/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</row>
    <row r="107" spans="1:31" s="41" customFormat="1" x14ac:dyDescent="0.2">
      <c r="A107" s="56"/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</row>
    <row r="108" spans="1:31" s="41" customFormat="1" x14ac:dyDescent="0.2">
      <c r="A108" s="56"/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</row>
    <row r="109" spans="1:31" s="41" customFormat="1" x14ac:dyDescent="0.2">
      <c r="A109" s="56"/>
      <c r="B109" s="55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</row>
    <row r="110" spans="1:31" s="41" customFormat="1" x14ac:dyDescent="0.2">
      <c r="A110" s="56"/>
      <c r="B110" s="55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</row>
    <row r="111" spans="1:31" s="41" customFormat="1" x14ac:dyDescent="0.2">
      <c r="A111" s="56"/>
      <c r="B111" s="55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</row>
    <row r="112" spans="1:31" s="41" customFormat="1" x14ac:dyDescent="0.2">
      <c r="A112" s="56"/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</row>
    <row r="113" spans="1:31" s="41" customFormat="1" x14ac:dyDescent="0.2">
      <c r="A113" s="56"/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</row>
    <row r="114" spans="1:31" s="41" customFormat="1" x14ac:dyDescent="0.2">
      <c r="A114" s="56"/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</row>
    <row r="115" spans="1:31" s="41" customFormat="1" x14ac:dyDescent="0.2">
      <c r="A115" s="56"/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</row>
    <row r="116" spans="1:31" s="41" customFormat="1" x14ac:dyDescent="0.2">
      <c r="A116" s="56"/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</row>
    <row r="117" spans="1:31" s="41" customFormat="1" x14ac:dyDescent="0.2">
      <c r="A117" s="56"/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</row>
    <row r="118" spans="1:31" x14ac:dyDescent="0.2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</row>
    <row r="119" spans="1:31" x14ac:dyDescent="0.2">
      <c r="A119" s="56"/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</row>
    <row r="120" spans="1:31" x14ac:dyDescent="0.2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</row>
    <row r="121" spans="1:31" x14ac:dyDescent="0.2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</row>
    <row r="122" spans="1:31" x14ac:dyDescent="0.2">
      <c r="A122" s="56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</row>
    <row r="123" spans="1:31" x14ac:dyDescent="0.2">
      <c r="A123" s="56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</row>
    <row r="124" spans="1:31" x14ac:dyDescent="0.2">
      <c r="A124" s="56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</row>
    <row r="125" spans="1:31" x14ac:dyDescent="0.2">
      <c r="A125" s="56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</row>
    <row r="126" spans="1:31" x14ac:dyDescent="0.2">
      <c r="A126" s="56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</row>
    <row r="127" spans="1:31" x14ac:dyDescent="0.2">
      <c r="A127" s="56"/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</row>
    <row r="128" spans="1:31" x14ac:dyDescent="0.2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</row>
    <row r="129" spans="1:31" x14ac:dyDescent="0.2">
      <c r="A129" s="56"/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</row>
    <row r="130" spans="1:31" x14ac:dyDescent="0.2">
      <c r="A130" s="56"/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</row>
    <row r="131" spans="1:31" x14ac:dyDescent="0.2">
      <c r="A131" s="56"/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</row>
    <row r="132" spans="1:31" x14ac:dyDescent="0.2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</row>
    <row r="133" spans="1:31" x14ac:dyDescent="0.2">
      <c r="A133" s="56"/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</row>
    <row r="134" spans="1:31" x14ac:dyDescent="0.2">
      <c r="A134" s="56"/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</row>
    <row r="135" spans="1:31" x14ac:dyDescent="0.2">
      <c r="A135" s="56"/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</row>
    <row r="136" spans="1:31" x14ac:dyDescent="0.2">
      <c r="A136" s="56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</row>
    <row r="137" spans="1:31" x14ac:dyDescent="0.2">
      <c r="A137" s="56"/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</row>
    <row r="138" spans="1:31" x14ac:dyDescent="0.2">
      <c r="A138" s="56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</row>
    <row r="139" spans="1:31" x14ac:dyDescent="0.2">
      <c r="A139" s="56"/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</row>
    <row r="140" spans="1:31" x14ac:dyDescent="0.2">
      <c r="A140" s="56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</row>
    <row r="141" spans="1:31" x14ac:dyDescent="0.2">
      <c r="A141" s="56"/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</row>
    <row r="142" spans="1:31" x14ac:dyDescent="0.2">
      <c r="A142" s="56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</row>
    <row r="143" spans="1:31" x14ac:dyDescent="0.2">
      <c r="A143" s="56"/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</row>
    <row r="144" spans="1:31" x14ac:dyDescent="0.2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</row>
    <row r="145" spans="1:31" x14ac:dyDescent="0.2">
      <c r="A145" s="56"/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</row>
    <row r="146" spans="1:31" x14ac:dyDescent="0.2">
      <c r="A146" s="56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</row>
    <row r="147" spans="1:31" x14ac:dyDescent="0.2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</row>
    <row r="148" spans="1:31" x14ac:dyDescent="0.2">
      <c r="A148" s="56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</row>
    <row r="149" spans="1:31" x14ac:dyDescent="0.2">
      <c r="A149" s="56"/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</row>
    <row r="150" spans="1:31" x14ac:dyDescent="0.2">
      <c r="A150" s="56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</row>
    <row r="151" spans="1:31" x14ac:dyDescent="0.2">
      <c r="A151" s="56"/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</row>
    <row r="152" spans="1:31" x14ac:dyDescent="0.2">
      <c r="A152" s="56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</row>
    <row r="153" spans="1:31" x14ac:dyDescent="0.2">
      <c r="A153" s="56"/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</row>
    <row r="154" spans="1:31" x14ac:dyDescent="0.2">
      <c r="A154" s="56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</row>
    <row r="155" spans="1:31" x14ac:dyDescent="0.2">
      <c r="A155" s="56"/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</row>
    <row r="156" spans="1:31" x14ac:dyDescent="0.2">
      <c r="A156" s="56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</row>
    <row r="157" spans="1:31" x14ac:dyDescent="0.2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</row>
    <row r="158" spans="1:31" x14ac:dyDescent="0.2">
      <c r="A158" s="56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</row>
    <row r="159" spans="1:31" x14ac:dyDescent="0.2">
      <c r="A159" s="56"/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</row>
    <row r="160" spans="1:31" x14ac:dyDescent="0.2">
      <c r="A160" s="56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</row>
    <row r="161" spans="1:31" x14ac:dyDescent="0.2">
      <c r="A161" s="56"/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</row>
    <row r="162" spans="1:31" x14ac:dyDescent="0.2">
      <c r="A162" s="56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</row>
    <row r="163" spans="1:31" x14ac:dyDescent="0.2">
      <c r="A163" s="56"/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</row>
    <row r="164" spans="1:31" x14ac:dyDescent="0.2">
      <c r="A164" s="56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</row>
    <row r="165" spans="1:31" x14ac:dyDescent="0.2">
      <c r="A165" s="56"/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</row>
    <row r="166" spans="1:31" x14ac:dyDescent="0.2">
      <c r="A166" s="56"/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</row>
    <row r="167" spans="1:31" x14ac:dyDescent="0.2">
      <c r="A167" s="56"/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</row>
    <row r="168" spans="1:31" x14ac:dyDescent="0.2">
      <c r="A168" s="56"/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</row>
    <row r="169" spans="1:31" x14ac:dyDescent="0.2">
      <c r="A169" s="56"/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</row>
    <row r="170" spans="1:31" x14ac:dyDescent="0.2">
      <c r="A170" s="56"/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</row>
    <row r="171" spans="1:31" x14ac:dyDescent="0.2">
      <c r="A171" s="56"/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</row>
    <row r="172" spans="1:31" x14ac:dyDescent="0.2">
      <c r="A172" s="56"/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</row>
    <row r="173" spans="1:31" x14ac:dyDescent="0.2">
      <c r="A173" s="56"/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</row>
    <row r="174" spans="1:31" x14ac:dyDescent="0.2">
      <c r="A174" s="56"/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</row>
    <row r="175" spans="1:31" x14ac:dyDescent="0.2">
      <c r="A175" s="56"/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</row>
    <row r="176" spans="1:31" x14ac:dyDescent="0.2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</row>
    <row r="177" spans="1:31" x14ac:dyDescent="0.2">
      <c r="A177" s="56"/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</row>
    <row r="178" spans="1:31" x14ac:dyDescent="0.2">
      <c r="A178" s="56"/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</row>
    <row r="179" spans="1:31" x14ac:dyDescent="0.2">
      <c r="A179" s="56"/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</row>
    <row r="180" spans="1:31" x14ac:dyDescent="0.2">
      <c r="A180" s="56"/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</row>
    <row r="181" spans="1:31" x14ac:dyDescent="0.2">
      <c r="A181" s="56"/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</row>
    <row r="182" spans="1:31" x14ac:dyDescent="0.2">
      <c r="A182" s="56"/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</row>
    <row r="183" spans="1:31" x14ac:dyDescent="0.2">
      <c r="A183" s="56"/>
      <c r="B183" s="56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</row>
    <row r="184" spans="1:31" x14ac:dyDescent="0.2">
      <c r="A184" s="56"/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</row>
    <row r="185" spans="1:31" x14ac:dyDescent="0.2">
      <c r="A185" s="56"/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</row>
    <row r="186" spans="1:31" x14ac:dyDescent="0.2">
      <c r="A186" s="56"/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</row>
    <row r="187" spans="1:31" x14ac:dyDescent="0.2">
      <c r="A187" s="56"/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</row>
    <row r="188" spans="1:31" x14ac:dyDescent="0.2">
      <c r="A188" s="56"/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</row>
    <row r="189" spans="1:31" x14ac:dyDescent="0.2">
      <c r="A189" s="56"/>
      <c r="B189" s="56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</row>
    <row r="190" spans="1:31" x14ac:dyDescent="0.2">
      <c r="A190" s="56"/>
      <c r="B190" s="56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</row>
    <row r="191" spans="1:31" x14ac:dyDescent="0.2">
      <c r="A191" s="56"/>
      <c r="B191" s="56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</row>
    <row r="192" spans="1:31" x14ac:dyDescent="0.2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</row>
    <row r="193" spans="1:31" x14ac:dyDescent="0.2">
      <c r="A193" s="56"/>
      <c r="B193" s="56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</row>
    <row r="194" spans="1:31" x14ac:dyDescent="0.2">
      <c r="A194" s="56"/>
      <c r="B194" s="56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</row>
    <row r="195" spans="1:31" x14ac:dyDescent="0.2">
      <c r="A195" s="56"/>
      <c r="B195" s="56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</row>
    <row r="196" spans="1:31" x14ac:dyDescent="0.2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</row>
    <row r="197" spans="1:31" x14ac:dyDescent="0.2">
      <c r="A197" s="56"/>
      <c r="B197" s="56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</row>
    <row r="198" spans="1:31" x14ac:dyDescent="0.2">
      <c r="A198" s="56"/>
      <c r="B198" s="56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</row>
    <row r="199" spans="1:31" x14ac:dyDescent="0.2">
      <c r="A199" s="56"/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</row>
    <row r="200" spans="1:31" x14ac:dyDescent="0.2">
      <c r="A200" s="56"/>
      <c r="B200" s="56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</row>
    <row r="201" spans="1:31" x14ac:dyDescent="0.2">
      <c r="A201" s="56"/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</row>
    <row r="202" spans="1:31" x14ac:dyDescent="0.2">
      <c r="A202" s="56"/>
      <c r="B202" s="56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</row>
    <row r="203" spans="1:31" x14ac:dyDescent="0.2">
      <c r="A203" s="56"/>
      <c r="B203" s="56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</row>
    <row r="204" spans="1:31" x14ac:dyDescent="0.2">
      <c r="A204" s="56"/>
      <c r="B204" s="56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</row>
    <row r="205" spans="1:31" x14ac:dyDescent="0.2">
      <c r="A205" s="56"/>
      <c r="B205" s="56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</row>
    <row r="206" spans="1:31" x14ac:dyDescent="0.2">
      <c r="A206" s="56"/>
      <c r="B206" s="56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</row>
    <row r="207" spans="1:31" x14ac:dyDescent="0.2">
      <c r="A207" s="56"/>
      <c r="B207" s="56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</row>
    <row r="208" spans="1:31" x14ac:dyDescent="0.2">
      <c r="A208" s="56"/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</row>
    <row r="209" spans="1:31" x14ac:dyDescent="0.2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</row>
    <row r="210" spans="1:31" x14ac:dyDescent="0.2">
      <c r="A210" s="56"/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</row>
    <row r="211" spans="1:31" x14ac:dyDescent="0.2">
      <c r="A211" s="56"/>
      <c r="B211" s="56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</row>
    <row r="212" spans="1:31" x14ac:dyDescent="0.2">
      <c r="A212" s="56"/>
      <c r="B212" s="56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</row>
    <row r="213" spans="1:31" x14ac:dyDescent="0.2">
      <c r="A213" s="56"/>
      <c r="B213" s="56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</row>
    <row r="214" spans="1:31" x14ac:dyDescent="0.2">
      <c r="A214" s="56"/>
      <c r="B214" s="56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</row>
    <row r="215" spans="1:31" x14ac:dyDescent="0.2">
      <c r="A215" s="56"/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</row>
    <row r="216" spans="1:31" x14ac:dyDescent="0.2">
      <c r="A216" s="56"/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</row>
    <row r="217" spans="1:31" x14ac:dyDescent="0.2">
      <c r="A217" s="56"/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</row>
    <row r="218" spans="1:31" x14ac:dyDescent="0.2">
      <c r="A218" s="56"/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</row>
    <row r="219" spans="1:31" x14ac:dyDescent="0.2">
      <c r="A219" s="56"/>
      <c r="B219" s="56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</row>
    <row r="220" spans="1:31" x14ac:dyDescent="0.2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</row>
    <row r="221" spans="1:31" x14ac:dyDescent="0.2">
      <c r="A221" s="56"/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</row>
    <row r="222" spans="1:31" x14ac:dyDescent="0.2">
      <c r="A222" s="56"/>
      <c r="B222" s="56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</row>
    <row r="223" spans="1:31" x14ac:dyDescent="0.2">
      <c r="A223" s="56"/>
      <c r="B223" s="56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</row>
    <row r="224" spans="1:31" x14ac:dyDescent="0.2">
      <c r="A224" s="56"/>
      <c r="B224" s="56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</row>
    <row r="225" spans="1:31" x14ac:dyDescent="0.2">
      <c r="A225" s="56"/>
      <c r="B225" s="56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</row>
    <row r="226" spans="1:31" x14ac:dyDescent="0.2">
      <c r="A226" s="56"/>
      <c r="B226" s="56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</row>
    <row r="227" spans="1:31" x14ac:dyDescent="0.2">
      <c r="A227" s="56"/>
      <c r="B227" s="56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</row>
    <row r="228" spans="1:31" x14ac:dyDescent="0.2">
      <c r="A228" s="56"/>
      <c r="B228" s="56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</row>
    <row r="229" spans="1:31" x14ac:dyDescent="0.2">
      <c r="A229" s="56"/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</row>
    <row r="230" spans="1:31" x14ac:dyDescent="0.2">
      <c r="A230" s="56"/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</row>
    <row r="231" spans="1:31" x14ac:dyDescent="0.2">
      <c r="A231" s="56"/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</row>
    <row r="232" spans="1:31" x14ac:dyDescent="0.2">
      <c r="A232" s="56"/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</row>
    <row r="233" spans="1:31" x14ac:dyDescent="0.2">
      <c r="A233" s="56"/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</row>
    <row r="234" spans="1:31" x14ac:dyDescent="0.2">
      <c r="A234" s="56"/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</row>
    <row r="235" spans="1:31" x14ac:dyDescent="0.2">
      <c r="A235" s="56"/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</row>
    <row r="236" spans="1:31" x14ac:dyDescent="0.2">
      <c r="A236" s="56"/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</row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3"/>
  <sheetViews>
    <sheetView tabSelected="1" topLeftCell="A25" zoomScale="115" zoomScaleNormal="115" workbookViewId="0">
      <selection activeCell="B114" sqref="B114"/>
    </sheetView>
  </sheetViews>
  <sheetFormatPr defaultRowHeight="12.75" x14ac:dyDescent="0.2"/>
  <cols>
    <col min="1" max="1" width="23.85546875" customWidth="1"/>
    <col min="2" max="2" width="32.140625" customWidth="1"/>
    <col min="3" max="3" width="31.140625" customWidth="1"/>
    <col min="4" max="4" width="12.140625" customWidth="1"/>
    <col min="5" max="5" width="19.28515625" customWidth="1"/>
    <col min="6" max="6" width="10.140625" customWidth="1"/>
    <col min="7" max="8" width="10.42578125" customWidth="1"/>
    <col min="9" max="9" width="50.7109375" customWidth="1"/>
    <col min="10" max="10" width="9" customWidth="1"/>
  </cols>
  <sheetData>
    <row r="1" spans="1:10" x14ac:dyDescent="0.2">
      <c r="A1" s="1" t="s">
        <v>8</v>
      </c>
      <c r="B1" s="1" t="s">
        <v>233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249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235</v>
      </c>
      <c r="B5" s="23" t="s">
        <v>20</v>
      </c>
      <c r="C5" s="27">
        <v>255</v>
      </c>
      <c r="D5" s="23"/>
      <c r="E5" s="23"/>
      <c r="F5" s="23" t="b">
        <v>1</v>
      </c>
      <c r="G5" s="23"/>
      <c r="H5" s="23"/>
      <c r="I5" s="24"/>
      <c r="J5" s="25"/>
    </row>
    <row r="6" spans="1:10" x14ac:dyDescent="0.2">
      <c r="A6" s="22" t="s">
        <v>236</v>
      </c>
      <c r="B6" s="23" t="s">
        <v>20</v>
      </c>
      <c r="C6" s="27" t="s">
        <v>118</v>
      </c>
      <c r="F6" s="47" t="b">
        <v>1</v>
      </c>
      <c r="G6" s="23"/>
      <c r="H6" s="23"/>
      <c r="I6" s="24"/>
      <c r="J6" s="25"/>
    </row>
    <row r="7" spans="1:10" x14ac:dyDescent="0.2">
      <c r="A7" s="22" t="s">
        <v>237</v>
      </c>
      <c r="B7" s="23" t="s">
        <v>86</v>
      </c>
      <c r="C7" s="27">
        <v>500</v>
      </c>
      <c r="F7" s="47" t="b">
        <v>0</v>
      </c>
      <c r="G7" s="23"/>
      <c r="H7" s="23"/>
      <c r="I7" s="24"/>
      <c r="J7" s="25"/>
    </row>
    <row r="8" spans="1:10" x14ac:dyDescent="0.2">
      <c r="A8" s="22" t="s">
        <v>238</v>
      </c>
      <c r="B8" s="23" t="s">
        <v>9</v>
      </c>
      <c r="C8" s="27" t="s">
        <v>118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239</v>
      </c>
      <c r="B9" s="23" t="s">
        <v>20</v>
      </c>
      <c r="C9" s="27">
        <v>255</v>
      </c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22" t="s">
        <v>240</v>
      </c>
      <c r="B10" s="23" t="s">
        <v>9</v>
      </c>
      <c r="C10" s="27"/>
      <c r="D10" s="23"/>
      <c r="E10" s="23"/>
      <c r="F10" s="23" t="b">
        <v>1</v>
      </c>
      <c r="G10" s="23"/>
      <c r="H10" s="23"/>
      <c r="I10" s="24"/>
      <c r="J10" s="25"/>
    </row>
    <row r="11" spans="1:10" x14ac:dyDescent="0.2">
      <c r="A11" s="22" t="s">
        <v>241</v>
      </c>
      <c r="B11" s="23" t="s">
        <v>20</v>
      </c>
      <c r="C11" s="27">
        <v>255</v>
      </c>
      <c r="D11" s="23"/>
      <c r="E11" s="23"/>
      <c r="F11" s="23" t="b">
        <v>1</v>
      </c>
      <c r="G11" s="23"/>
      <c r="H11" s="23"/>
      <c r="I11" s="24"/>
      <c r="J11" s="25"/>
    </row>
    <row r="12" spans="1:10" x14ac:dyDescent="0.2">
      <c r="A12" s="59" t="s">
        <v>242</v>
      </c>
      <c r="B12" s="47" t="s">
        <v>86</v>
      </c>
      <c r="C12" s="58"/>
      <c r="D12" s="25"/>
      <c r="E12" s="25"/>
      <c r="F12" s="47" t="b">
        <v>1</v>
      </c>
      <c r="G12" s="25"/>
      <c r="H12" s="25"/>
      <c r="I12" s="25"/>
      <c r="J12" s="25"/>
    </row>
    <row r="13" spans="1:10" x14ac:dyDescent="0.2">
      <c r="A13" s="59" t="s">
        <v>243</v>
      </c>
      <c r="B13" s="47" t="s">
        <v>86</v>
      </c>
      <c r="C13" s="58"/>
      <c r="D13" s="25"/>
      <c r="E13" s="25"/>
      <c r="F13" s="47" t="b">
        <v>1</v>
      </c>
      <c r="G13" s="25"/>
      <c r="H13" s="25"/>
      <c r="I13" s="25"/>
      <c r="J13" s="25"/>
    </row>
    <row r="14" spans="1:10" x14ac:dyDescent="0.2">
      <c r="A14" s="59" t="s">
        <v>26</v>
      </c>
      <c r="B14" s="47" t="s">
        <v>7</v>
      </c>
      <c r="C14" s="58">
        <v>30</v>
      </c>
      <c r="D14" s="25"/>
      <c r="E14" s="25"/>
      <c r="F14" s="47" t="b">
        <v>1</v>
      </c>
      <c r="G14" s="25"/>
      <c r="H14" s="25"/>
      <c r="I14" s="25"/>
      <c r="J14" s="25"/>
    </row>
    <row r="15" spans="1:10" x14ac:dyDescent="0.2">
      <c r="A15" s="59" t="s">
        <v>244</v>
      </c>
      <c r="B15" s="47" t="s">
        <v>7</v>
      </c>
      <c r="C15" s="58">
        <v>30</v>
      </c>
      <c r="D15" s="25"/>
      <c r="E15" s="25"/>
      <c r="F15" s="47" t="b">
        <v>1</v>
      </c>
      <c r="G15" s="25"/>
      <c r="H15" s="25"/>
      <c r="I15" s="25"/>
      <c r="J15" s="25"/>
    </row>
    <row r="16" spans="1:10" x14ac:dyDescent="0.2">
      <c r="A16" s="59" t="s">
        <v>245</v>
      </c>
      <c r="B16" s="47" t="s">
        <v>20</v>
      </c>
      <c r="C16" s="58">
        <v>100</v>
      </c>
      <c r="D16" s="25"/>
      <c r="E16" s="25"/>
      <c r="F16" s="47" t="b">
        <v>1</v>
      </c>
      <c r="G16" s="25"/>
      <c r="H16" s="25"/>
      <c r="I16" s="25"/>
      <c r="J16" s="25"/>
    </row>
    <row r="17" spans="1:12" x14ac:dyDescent="0.2">
      <c r="A17" s="59" t="s">
        <v>246</v>
      </c>
      <c r="B17" s="47" t="s">
        <v>7</v>
      </c>
      <c r="C17" s="58">
        <v>100</v>
      </c>
      <c r="D17" s="25"/>
      <c r="E17" s="25"/>
      <c r="F17" s="47" t="b">
        <v>1</v>
      </c>
      <c r="G17" s="25"/>
      <c r="H17" s="25"/>
      <c r="I17" s="25"/>
      <c r="J17" s="25"/>
    </row>
    <row r="18" spans="1:12" x14ac:dyDescent="0.2">
      <c r="A18" s="59" t="s">
        <v>247</v>
      </c>
      <c r="B18" s="47" t="s">
        <v>9</v>
      </c>
      <c r="C18" s="58"/>
      <c r="D18" s="25"/>
      <c r="E18" s="25"/>
      <c r="F18" s="47" t="b">
        <v>1</v>
      </c>
      <c r="G18" s="25"/>
      <c r="H18" s="25"/>
      <c r="I18" s="25"/>
      <c r="J18" s="25"/>
    </row>
    <row r="19" spans="1:12" ht="13.5" thickBot="1" x14ac:dyDescent="0.25">
      <c r="A19" s="36" t="s">
        <v>248</v>
      </c>
      <c r="B19" s="47" t="s">
        <v>20</v>
      </c>
      <c r="C19" s="58">
        <v>50</v>
      </c>
      <c r="D19" s="25"/>
      <c r="E19" s="25"/>
      <c r="F19" s="47" t="b">
        <v>1</v>
      </c>
      <c r="G19" s="25"/>
      <c r="H19" s="25"/>
      <c r="I19" s="25"/>
      <c r="J19" s="25"/>
    </row>
    <row r="20" spans="1:12" ht="13.5" thickBot="1" x14ac:dyDescent="0.25">
      <c r="A20" s="60" t="s">
        <v>10</v>
      </c>
      <c r="B20" s="61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5" t="str">
        <f>"if exists (select * from dbo.sysobjects where id = object_id(N'[dbo].["&amp;$B$1&amp;"]') and OBJECTPROPERTY(id, N'IsUserTable') = 1)"</f>
        <v>if exists (select * from dbo.sysobjects where id = object_id(N'[dbo].[HeaderFooterMgnt]')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 t="str">
        <f>"drop table [dbo].["&amp;$B$1&amp;"]"</f>
        <v>drop table [dbo].[HeaderFooterMgnt]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 t="str">
        <f>"CREATE TABLE [dbo].["&amp;$B$1&amp;"] ("</f>
        <v>CREATE TABLE [dbo].[HeaderFooterMgnt]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ref="B27:B40" si="0"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[bigint]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[title] [nvarchar] (255)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[[content]] [nvarchar] (MAX)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[active] [bit]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[createdAt] [datetime]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[createdBy] [nvarchar] (255)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[updatedAt] [datetime]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[updatedBy] [nvarchar] (255)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[allUser] [bit]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[isDefault] [bit]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[ma_gian_hang] [varchar] (30)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[companycode] [varchar] (30)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[postnotifycode] [nvarchar] (100)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[hashtagcode] [varchar] (100)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ref="B41:B42" si="1">"["&amp;A18&amp;"] ["&amp;B18&amp;"]"&amp;IF(H18=TRUE, " IDENTITY (1,1)","")&amp;IF(AND(B18&lt;&gt;"int",B18&lt;&gt;"bigint",B18&lt;&gt;"bit",B18&lt;&gt;"float",B18&lt;&gt;"datetime",B18&lt;&gt;"smalldatetime",B18&lt;&gt;"timestamp",B18&lt;&gt;"xml")," ("&amp;C18&amp;") "," ")&amp;""&amp;IF(F18=FALSE,"NOT NULL","NULL")&amp;IF(G18&lt;&gt;""," DEFAULT ("&amp;G18&amp;")","")&amp;IF(A20&lt;&gt;"",", ", "")</f>
        <v xml:space="preserve">[ngay_thong_bao] [datetime]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1"/>
        <v>[ma_website] [nvarchar] (50)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 t="str">
        <f>"ALTER TABLE [dbo].["&amp;$B$1&amp;"] ADD"</f>
        <v>ALTER TABLE [dbo].[HeaderFooterMgnt]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 t="str">
        <f>"CONSTRAINT [PK_"&amp;$B$1&amp;"] PRIMARY KEY  CLUSTERED"</f>
        <v>CONSTRAINT [PK_HeaderFooterMgnt]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/>
      <c r="C49" s="5" t="str">
        <f>IF(D4=TRUE, "["&amp;A4&amp;"]"&amp;IF(D5="", "", ", "), "")</f>
        <v>[id]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/>
      <c r="C50" s="5" t="str">
        <f>IF(D5=TRUE, "["&amp;A5&amp;"]"&amp;IF(D6="", "", ", "), "")</f>
        <v/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5" thickBot="1" x14ac:dyDescent="0.25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">
      <c r="C54" t="s">
        <v>44</v>
      </c>
    </row>
    <row r="58" spans="1:12" x14ac:dyDescent="0.2">
      <c r="A58" s="37" t="s">
        <v>45</v>
      </c>
      <c r="B58" s="37" t="str">
        <f>B1</f>
        <v>HeaderFooterMgnt</v>
      </c>
      <c r="C58" s="37"/>
    </row>
    <row r="59" spans="1:12" x14ac:dyDescent="0.2">
      <c r="A59" s="37" t="s">
        <v>46</v>
      </c>
      <c r="B59" s="37"/>
      <c r="C59" s="37"/>
    </row>
    <row r="60" spans="1:12" x14ac:dyDescent="0.2">
      <c r="A60" s="37"/>
      <c r="B60" s="37" t="s">
        <v>47</v>
      </c>
      <c r="C60" s="37"/>
    </row>
    <row r="61" spans="1:12" x14ac:dyDescent="0.2">
      <c r="A61" s="37"/>
      <c r="B61" s="37" t="s">
        <v>48</v>
      </c>
      <c r="C61" s="37"/>
    </row>
    <row r="62" spans="1:12" x14ac:dyDescent="0.2">
      <c r="A62" s="37" t="s">
        <v>49</v>
      </c>
      <c r="B62" s="37" t="str">
        <f t="shared" ref="B62:B76" si="2">IF(OR($B4="nvarchar",$B4="varchar"),"string",IF($B4="datetime","DateTime",$B4))</f>
        <v>bigint</v>
      </c>
      <c r="C62" s="37" t="str">
        <f t="shared" ref="C62:C76" si="3">A4&amp;" "&amp;$C$54</f>
        <v>id  { get; set; }</v>
      </c>
    </row>
    <row r="63" spans="1:12" x14ac:dyDescent="0.2">
      <c r="A63" s="37" t="s">
        <v>49</v>
      </c>
      <c r="B63" s="37" t="str">
        <f t="shared" si="2"/>
        <v>string</v>
      </c>
      <c r="C63" s="37" t="str">
        <f t="shared" si="3"/>
        <v>title  { get; set; }</v>
      </c>
    </row>
    <row r="64" spans="1:12" x14ac:dyDescent="0.2">
      <c r="A64" s="37" t="s">
        <v>49</v>
      </c>
      <c r="B64" s="37" t="str">
        <f t="shared" si="2"/>
        <v>string</v>
      </c>
      <c r="C64" s="37" t="str">
        <f t="shared" si="3"/>
        <v>[content]  { get; set; }</v>
      </c>
    </row>
    <row r="65" spans="1:3" x14ac:dyDescent="0.2">
      <c r="A65" s="37" t="s">
        <v>49</v>
      </c>
      <c r="B65" s="37" t="str">
        <f t="shared" si="2"/>
        <v>bit</v>
      </c>
      <c r="C65" s="37" t="str">
        <f t="shared" si="3"/>
        <v>active  { get; set; }</v>
      </c>
    </row>
    <row r="66" spans="1:3" x14ac:dyDescent="0.2">
      <c r="A66" s="37" t="s">
        <v>49</v>
      </c>
      <c r="B66" s="37" t="str">
        <f t="shared" si="2"/>
        <v>DateTime</v>
      </c>
      <c r="C66" s="37" t="str">
        <f t="shared" si="3"/>
        <v>createdAt  { get; set; }</v>
      </c>
    </row>
    <row r="67" spans="1:3" x14ac:dyDescent="0.2">
      <c r="A67" s="37" t="s">
        <v>49</v>
      </c>
      <c r="B67" s="37" t="str">
        <f t="shared" si="2"/>
        <v>string</v>
      </c>
      <c r="C67" s="37" t="str">
        <f t="shared" si="3"/>
        <v>createdBy  { get; set; }</v>
      </c>
    </row>
    <row r="68" spans="1:3" x14ac:dyDescent="0.2">
      <c r="A68" s="37" t="s">
        <v>49</v>
      </c>
      <c r="B68" s="37" t="str">
        <f t="shared" si="2"/>
        <v>DateTime</v>
      </c>
      <c r="C68" s="37" t="str">
        <f t="shared" si="3"/>
        <v>updatedAt  { get; set; }</v>
      </c>
    </row>
    <row r="69" spans="1:3" x14ac:dyDescent="0.2">
      <c r="A69" s="37" t="s">
        <v>49</v>
      </c>
      <c r="B69" s="37" t="str">
        <f t="shared" si="2"/>
        <v>string</v>
      </c>
      <c r="C69" s="37" t="str">
        <f t="shared" si="3"/>
        <v>updatedBy  { get; set; }</v>
      </c>
    </row>
    <row r="70" spans="1:3" x14ac:dyDescent="0.2">
      <c r="A70" s="37" t="s">
        <v>49</v>
      </c>
      <c r="B70" s="37" t="str">
        <f t="shared" si="2"/>
        <v>bit</v>
      </c>
      <c r="C70" s="37" t="str">
        <f t="shared" si="3"/>
        <v>allUser  { get; set; }</v>
      </c>
    </row>
    <row r="71" spans="1:3" x14ac:dyDescent="0.2">
      <c r="A71" s="37" t="s">
        <v>49</v>
      </c>
      <c r="B71" s="37" t="str">
        <f t="shared" si="2"/>
        <v>bit</v>
      </c>
      <c r="C71" s="37" t="str">
        <f t="shared" si="3"/>
        <v>isDefault  { get; set; }</v>
      </c>
    </row>
    <row r="72" spans="1:3" x14ac:dyDescent="0.2">
      <c r="A72" s="37" t="s">
        <v>49</v>
      </c>
      <c r="B72" s="37" t="str">
        <f t="shared" si="2"/>
        <v>string</v>
      </c>
      <c r="C72" s="37" t="str">
        <f t="shared" si="3"/>
        <v>ma_gian_hang  { get; set; }</v>
      </c>
    </row>
    <row r="73" spans="1:3" x14ac:dyDescent="0.2">
      <c r="A73" s="37" t="s">
        <v>49</v>
      </c>
      <c r="B73" s="37" t="str">
        <f t="shared" si="2"/>
        <v>string</v>
      </c>
      <c r="C73" s="37" t="str">
        <f t="shared" si="3"/>
        <v>companycode  { get; set; }</v>
      </c>
    </row>
    <row r="74" spans="1:3" x14ac:dyDescent="0.2">
      <c r="A74" s="37" t="s">
        <v>49</v>
      </c>
      <c r="B74" s="37" t="str">
        <f t="shared" si="2"/>
        <v>string</v>
      </c>
      <c r="C74" s="37" t="str">
        <f t="shared" si="3"/>
        <v>postnotifycode  { get; set; }</v>
      </c>
    </row>
    <row r="75" spans="1:3" x14ac:dyDescent="0.2">
      <c r="A75" s="37" t="s">
        <v>49</v>
      </c>
      <c r="B75" s="37" t="str">
        <f t="shared" si="2"/>
        <v>string</v>
      </c>
      <c r="C75" s="37" t="str">
        <f t="shared" si="3"/>
        <v>hashtagcode  { get; set; }</v>
      </c>
    </row>
    <row r="76" spans="1:3" x14ac:dyDescent="0.2">
      <c r="A76" s="37" t="s">
        <v>49</v>
      </c>
      <c r="B76" s="37" t="str">
        <f t="shared" si="2"/>
        <v>DateTime</v>
      </c>
      <c r="C76" s="37" t="str">
        <f t="shared" si="3"/>
        <v>ngay_thong_bao  { get; set; }</v>
      </c>
    </row>
    <row r="77" spans="1:3" x14ac:dyDescent="0.2">
      <c r="A77" s="37" t="s">
        <v>50</v>
      </c>
    </row>
    <row r="78" spans="1:3" x14ac:dyDescent="0.2">
      <c r="A78" s="37" t="s">
        <v>72</v>
      </c>
    </row>
    <row r="79" spans="1:3" s="41" customFormat="1" x14ac:dyDescent="0.2">
      <c r="A79" s="40" t="str">
        <f>"DROP TABLE IF EXISTS "&amp;$B$1&amp;"s;"</f>
        <v>DROP TABLE IF EXISTS HeaderFooterMgnts;</v>
      </c>
    </row>
    <row r="80" spans="1:3" s="41" customFormat="1" x14ac:dyDescent="0.2">
      <c r="A80" s="42" t="str">
        <f>"CREATE TABLE "&amp;$B$1&amp;"("</f>
        <v>CREATE TABLE HeaderFooterMgnt(</v>
      </c>
    </row>
    <row r="81" spans="1:2" s="41" customFormat="1" x14ac:dyDescent="0.2">
      <c r="B81" s="41" t="str">
        <f t="shared" ref="B81:B94" si="4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bigint NOT NULL AUTO_INCREMENT, </v>
      </c>
    </row>
    <row r="82" spans="1:2" s="41" customFormat="1" x14ac:dyDescent="0.2">
      <c r="B82" s="41" t="str">
        <f t="shared" si="4"/>
        <v xml:space="preserve">title nvarchar(255) NULL, </v>
      </c>
    </row>
    <row r="83" spans="1:2" s="41" customFormat="1" x14ac:dyDescent="0.2">
      <c r="B83" s="41" t="str">
        <f t="shared" si="4"/>
        <v xml:space="preserve">[content] nvarchar(MAX) NULL, </v>
      </c>
    </row>
    <row r="84" spans="1:2" s="41" customFormat="1" x14ac:dyDescent="0.2">
      <c r="B84" s="41" t="str">
        <f t="shared" si="4"/>
        <v xml:space="preserve">active bit NOT NULL, </v>
      </c>
    </row>
    <row r="85" spans="1:2" s="41" customFormat="1" x14ac:dyDescent="0.2">
      <c r="B85" s="41" t="str">
        <f t="shared" si="4"/>
        <v xml:space="preserve">createdAt datetime NOT NULL, </v>
      </c>
    </row>
    <row r="86" spans="1:2" s="41" customFormat="1" x14ac:dyDescent="0.2">
      <c r="B86" s="41" t="str">
        <f t="shared" si="4"/>
        <v xml:space="preserve">createdBy nvarchar(255) NULL, </v>
      </c>
    </row>
    <row r="87" spans="1:2" s="41" customFormat="1" x14ac:dyDescent="0.2">
      <c r="B87" s="41" t="str">
        <f t="shared" si="4"/>
        <v xml:space="preserve">updatedAt datetime NULL, </v>
      </c>
    </row>
    <row r="88" spans="1:2" s="41" customFormat="1" x14ac:dyDescent="0.2">
      <c r="B88" s="41" t="str">
        <f t="shared" si="4"/>
        <v xml:space="preserve">updatedBy nvarchar(255) NULL, </v>
      </c>
    </row>
    <row r="89" spans="1:2" s="41" customFormat="1" x14ac:dyDescent="0.2">
      <c r="B89" s="41" t="str">
        <f t="shared" si="4"/>
        <v xml:space="preserve">allUser bit NULL, </v>
      </c>
    </row>
    <row r="90" spans="1:2" s="41" customFormat="1" x14ac:dyDescent="0.2">
      <c r="B90" s="41" t="str">
        <f t="shared" si="4"/>
        <v xml:space="preserve">isDefault bit NULL, </v>
      </c>
    </row>
    <row r="91" spans="1:2" s="41" customFormat="1" x14ac:dyDescent="0.2">
      <c r="B91" s="41" t="str">
        <f t="shared" si="4"/>
        <v xml:space="preserve">ma_gian_hang varchar(30) NULL, </v>
      </c>
    </row>
    <row r="92" spans="1:2" s="41" customFormat="1" x14ac:dyDescent="0.2">
      <c r="B92" s="41" t="str">
        <f t="shared" si="4"/>
        <v xml:space="preserve">companycode varchar(30) NULL, </v>
      </c>
    </row>
    <row r="93" spans="1:2" s="41" customFormat="1" x14ac:dyDescent="0.2">
      <c r="B93" s="41" t="str">
        <f t="shared" si="4"/>
        <v xml:space="preserve">postnotifycode nvarchar(100) NULL, </v>
      </c>
    </row>
    <row r="94" spans="1:2" s="41" customFormat="1" x14ac:dyDescent="0.2">
      <c r="B94" s="41" t="str">
        <f t="shared" si="4"/>
        <v xml:space="preserve">hashtagcode varchar(100) NULL, </v>
      </c>
    </row>
    <row r="95" spans="1:2" s="41" customFormat="1" x14ac:dyDescent="0.2">
      <c r="A95" s="41" t="s">
        <v>74</v>
      </c>
    </row>
    <row r="96" spans="1:2" s="41" customFormat="1" x14ac:dyDescent="0.2">
      <c r="B96" s="5" t="str">
        <f>IF(D4=TRUE, A4&amp;IF(D5="", "", ", "), "")</f>
        <v>id</v>
      </c>
    </row>
    <row r="97" spans="1:2" s="41" customFormat="1" x14ac:dyDescent="0.2">
      <c r="B97" s="5" t="str">
        <f>IF(D5=TRUE, A5&amp;IF(D6="", "", ", "), "")</f>
        <v/>
      </c>
    </row>
    <row r="98" spans="1:2" s="41" customFormat="1" x14ac:dyDescent="0.2">
      <c r="B98" s="41" t="s">
        <v>75</v>
      </c>
    </row>
    <row r="99" spans="1:2" s="41" customFormat="1" x14ac:dyDescent="0.2">
      <c r="A99" s="41" t="s">
        <v>73</v>
      </c>
    </row>
    <row r="100" spans="1:2" s="41" customFormat="1" x14ac:dyDescent="0.2"/>
    <row r="101" spans="1:2" s="41" customFormat="1" x14ac:dyDescent="0.2"/>
    <row r="102" spans="1:2" s="41" customFormat="1" x14ac:dyDescent="0.2"/>
    <row r="103" spans="1:2" s="41" customFormat="1" x14ac:dyDescent="0.2"/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3"/>
  <sheetViews>
    <sheetView topLeftCell="A3" zoomScale="85" zoomScaleNormal="85" workbookViewId="0">
      <selection activeCell="A5" sqref="A5"/>
    </sheetView>
  </sheetViews>
  <sheetFormatPr defaultRowHeight="12.75" x14ac:dyDescent="0.2"/>
  <cols>
    <col min="1" max="1" width="23.85546875" customWidth="1"/>
    <col min="2" max="2" width="32.140625" customWidth="1"/>
    <col min="3" max="3" width="31.140625" customWidth="1"/>
    <col min="4" max="4" width="12.140625" customWidth="1"/>
    <col min="5" max="5" width="19.28515625" customWidth="1"/>
    <col min="6" max="6" width="10.140625" customWidth="1"/>
    <col min="7" max="8" width="10.42578125" customWidth="1"/>
    <col min="9" max="9" width="50.7109375" customWidth="1"/>
    <col min="10" max="10" width="9" customWidth="1"/>
  </cols>
  <sheetData>
    <row r="1" spans="1:10" x14ac:dyDescent="0.2">
      <c r="A1" s="1" t="s">
        <v>8</v>
      </c>
      <c r="B1" s="1" t="s">
        <v>233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227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224</v>
      </c>
      <c r="B6" s="23" t="s">
        <v>20</v>
      </c>
      <c r="C6" s="27">
        <v>500</v>
      </c>
      <c r="F6" s="47" t="b">
        <v>0</v>
      </c>
      <c r="G6" s="23"/>
      <c r="H6" s="23"/>
      <c r="I6" s="24"/>
      <c r="J6" s="25"/>
    </row>
    <row r="7" spans="1:10" x14ac:dyDescent="0.2">
      <c r="A7" s="22" t="s">
        <v>225</v>
      </c>
      <c r="B7" s="23" t="s">
        <v>20</v>
      </c>
      <c r="C7" s="27">
        <v>500</v>
      </c>
      <c r="F7" s="47" t="b">
        <v>0</v>
      </c>
      <c r="G7" s="23"/>
      <c r="H7" s="23"/>
      <c r="I7" s="24"/>
      <c r="J7" s="25"/>
    </row>
    <row r="8" spans="1:10" x14ac:dyDescent="0.2">
      <c r="A8" s="22" t="s">
        <v>142</v>
      </c>
      <c r="B8" s="23" t="s">
        <v>20</v>
      </c>
      <c r="C8" s="27" t="s">
        <v>118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125</v>
      </c>
      <c r="B9" s="23" t="s">
        <v>7</v>
      </c>
      <c r="C9" s="27">
        <v>50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22" t="s">
        <v>51</v>
      </c>
      <c r="B10" s="23" t="s">
        <v>7</v>
      </c>
      <c r="C10" s="27">
        <v>50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21</v>
      </c>
      <c r="B11" s="23" t="s">
        <v>9</v>
      </c>
      <c r="C11" s="27"/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59" t="s">
        <v>22</v>
      </c>
      <c r="B12" s="47" t="s">
        <v>20</v>
      </c>
      <c r="C12" s="58">
        <v>32</v>
      </c>
      <c r="D12" s="25"/>
      <c r="E12" s="25"/>
      <c r="F12" s="47" t="b">
        <v>1</v>
      </c>
      <c r="G12" s="25"/>
      <c r="H12" s="25"/>
      <c r="I12" s="25"/>
      <c r="J12" s="25"/>
    </row>
    <row r="13" spans="1:10" x14ac:dyDescent="0.2">
      <c r="A13" s="59" t="s">
        <v>23</v>
      </c>
      <c r="B13" s="47" t="s">
        <v>9</v>
      </c>
      <c r="C13" s="58"/>
      <c r="D13" s="25"/>
      <c r="E13" s="25"/>
      <c r="F13" s="47" t="b">
        <v>1</v>
      </c>
      <c r="G13" s="25"/>
      <c r="H13" s="25"/>
      <c r="I13" s="25"/>
      <c r="J13" s="25"/>
    </row>
    <row r="14" spans="1:10" x14ac:dyDescent="0.2">
      <c r="A14" s="59" t="s">
        <v>24</v>
      </c>
      <c r="B14" s="47" t="s">
        <v>20</v>
      </c>
      <c r="C14" s="58">
        <v>32</v>
      </c>
      <c r="D14" s="25"/>
      <c r="E14" s="25"/>
      <c r="F14" s="47" t="b">
        <v>1</v>
      </c>
      <c r="G14" s="25"/>
      <c r="H14" s="25"/>
      <c r="I14" s="25"/>
      <c r="J14" s="25"/>
    </row>
    <row r="15" spans="1:10" x14ac:dyDescent="0.2">
      <c r="A15" s="59" t="s">
        <v>228</v>
      </c>
      <c r="B15" s="47" t="s">
        <v>20</v>
      </c>
      <c r="C15" s="58">
        <v>500</v>
      </c>
      <c r="D15" s="25"/>
      <c r="E15" s="25"/>
      <c r="F15" s="47" t="b">
        <v>1</v>
      </c>
      <c r="G15" s="25"/>
      <c r="H15" s="25"/>
      <c r="I15" s="25"/>
      <c r="J15" s="25"/>
    </row>
    <row r="16" spans="1:10" x14ac:dyDescent="0.2">
      <c r="A16" s="59" t="s">
        <v>229</v>
      </c>
      <c r="B16" s="47" t="s">
        <v>19</v>
      </c>
      <c r="C16" s="58"/>
      <c r="D16" s="25"/>
      <c r="E16" s="25"/>
      <c r="F16" s="47" t="b">
        <v>1</v>
      </c>
      <c r="G16" s="25"/>
      <c r="H16" s="25"/>
      <c r="I16" s="25"/>
      <c r="J16" s="25"/>
    </row>
    <row r="17" spans="1:12" x14ac:dyDescent="0.2">
      <c r="A17" s="59" t="s">
        <v>230</v>
      </c>
      <c r="B17" s="47" t="s">
        <v>19</v>
      </c>
      <c r="C17" s="58"/>
      <c r="D17" s="25"/>
      <c r="E17" s="25"/>
      <c r="F17" s="47" t="b">
        <v>1</v>
      </c>
      <c r="G17" s="25"/>
      <c r="H17" s="25"/>
      <c r="I17" s="25"/>
      <c r="J17" s="25"/>
    </row>
    <row r="18" spans="1:12" x14ac:dyDescent="0.2">
      <c r="A18" s="59" t="s">
        <v>231</v>
      </c>
      <c r="B18" s="47" t="s">
        <v>232</v>
      </c>
      <c r="C18" s="58"/>
      <c r="D18" s="25"/>
      <c r="E18" s="25"/>
      <c r="F18" s="47" t="b">
        <v>1</v>
      </c>
      <c r="G18" s="25"/>
      <c r="H18" s="25"/>
      <c r="I18" s="25"/>
      <c r="J18" s="25"/>
    </row>
    <row r="19" spans="1:12" ht="13.5" thickBot="1" x14ac:dyDescent="0.25">
      <c r="A19" s="36" t="s">
        <v>234</v>
      </c>
      <c r="B19" s="47" t="s">
        <v>19</v>
      </c>
      <c r="C19" s="58"/>
      <c r="D19" s="25"/>
      <c r="E19" s="25"/>
      <c r="F19" s="47"/>
      <c r="G19" s="25"/>
      <c r="H19" s="25"/>
      <c r="I19" s="25"/>
      <c r="J19" s="25"/>
    </row>
    <row r="20" spans="1:12" ht="13.5" thickBot="1" x14ac:dyDescent="0.25">
      <c r="A20" s="60" t="s">
        <v>10</v>
      </c>
      <c r="B20" s="61"/>
      <c r="C20" s="16"/>
      <c r="D20" s="17"/>
      <c r="E20" s="17"/>
      <c r="F20" s="18"/>
      <c r="G20" s="18"/>
      <c r="H20" s="18"/>
      <c r="I20" s="18"/>
      <c r="J20" s="18"/>
      <c r="K20" s="18"/>
      <c r="L20" s="18"/>
    </row>
    <row r="21" spans="1:12" x14ac:dyDescent="0.2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5" t="str">
        <f>"if exists (select * from dbo.sysobjects where id = object_id(N'[dbo].["&amp;$B$1&amp;"]') and OBJECTPROPERTY(id, N'IsUserTable') = 1)"</f>
        <v>if exists (select * from dbo.sysobjects where id = object_id(N'[dbo].[HeaderFooterMgnt]')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 t="str">
        <f>"drop table [dbo].["&amp;$B$1&amp;"]"</f>
        <v>drop table [dbo].[HeaderFooterMgnt]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 t="str">
        <f>"CREATE TABLE [dbo].["&amp;$B$1&amp;"] ("</f>
        <v>CREATE TABLE [dbo].[HeaderFooterMgnt] (</v>
      </c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ref="B27:B40" si="0"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[ma] [varchar] (20)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[url_link] [nvarchar] (500)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[image_link] [nvarchar] (500)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[noi_dung] [nvarchar] (MAX)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[loai] [varchar] (50)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[trang_thai] [varchar] (50)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[ngay_tao] [datetime]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[nguoi_tao] [nvarchar] (32)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[ngay_cap_nhat] [datetime]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[nguoi_cap_nhat] [nvarchar] (32)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[ten_footer] [nvarchar] (500)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[levels] [int]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[orders] [int]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ref="B41:B42" si="1">"["&amp;A18&amp;"] ["&amp;B18&amp;"]"&amp;IF(H18=TRUE, " IDENTITY (1,1)","")&amp;IF(AND(B18&lt;&gt;"int",B18&lt;&gt;"bigint",B18&lt;&gt;"bit",B18&lt;&gt;"float",B18&lt;&gt;"datetime",B18&lt;&gt;"smalldatetime",B18&lt;&gt;"timestamp",B18&lt;&gt;"xml")," ("&amp;C18&amp;") "," ")&amp;""&amp;IF(F18=FALSE,"NOT NULL","NULL")&amp;IF(G18&lt;&gt;""," DEFAULT ("&amp;G18&amp;")","")&amp;IF(A20&lt;&gt;"",", ", "")</f>
        <v xml:space="preserve">[hinh_anh] [boolean] ()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1"/>
        <v>[website_id] [int] NOT NULL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 t="s">
        <v>12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 t="s">
        <v>11</v>
      </c>
      <c r="B44" s="5"/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 t="str">
        <f>"ALTER TABLE [dbo].["&amp;$B$1&amp;"] ADD"</f>
        <v>ALTER TABLE [dbo].[HeaderFooterMgnt] ADD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 t="str">
        <f>"CONSTRAINT [PK_"&amp;$B$1&amp;"] PRIMARY KEY  CLUSTERED"</f>
        <v>CONSTRAINT [PK_HeaderFooterMgnt] PRIMARY KEY  CLUSTERED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/>
      <c r="B48" s="5" t="s">
        <v>13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/>
      <c r="C49" s="5" t="str">
        <f>IF(D4=TRUE, "["&amp;A4&amp;"]"&amp;IF(D5="", "", ", "), "")</f>
        <v xml:space="preserve">[id], 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/>
      <c r="C50" s="5" t="str">
        <f>IF(D5=TRUE, "["&amp;A5&amp;"]"&amp;IF(D6="", "", ", "), "")</f>
        <v>[ma]</v>
      </c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 t="s">
        <v>14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ht="13.5" thickBot="1" x14ac:dyDescent="0.25">
      <c r="A52" s="11" t="s">
        <v>11</v>
      </c>
      <c r="B52" s="12"/>
      <c r="C52" s="12"/>
      <c r="D52" s="12"/>
      <c r="E52" s="12"/>
      <c r="F52" s="13"/>
      <c r="G52" s="12"/>
      <c r="H52" s="12"/>
      <c r="I52" s="14"/>
      <c r="J52" s="14"/>
      <c r="K52" s="12"/>
      <c r="L52" s="15"/>
    </row>
    <row r="53" spans="1:12" x14ac:dyDescent="0.2">
      <c r="A53" s="2"/>
      <c r="B53" s="2"/>
      <c r="C53" s="2"/>
      <c r="D53" s="2"/>
      <c r="E53" s="2"/>
      <c r="F53" s="3"/>
      <c r="G53" s="2"/>
      <c r="H53" s="2"/>
      <c r="I53" s="4"/>
      <c r="J53" s="4"/>
      <c r="K53" s="2"/>
      <c r="L53" s="2"/>
    </row>
    <row r="54" spans="1:12" x14ac:dyDescent="0.2">
      <c r="C54" t="s">
        <v>44</v>
      </c>
    </row>
    <row r="58" spans="1:12" x14ac:dyDescent="0.2">
      <c r="A58" s="37" t="s">
        <v>45</v>
      </c>
      <c r="B58" s="37" t="str">
        <f>B1</f>
        <v>HeaderFooterMgnt</v>
      </c>
      <c r="C58" s="37"/>
    </row>
    <row r="59" spans="1:12" x14ac:dyDescent="0.2">
      <c r="A59" s="37" t="s">
        <v>46</v>
      </c>
      <c r="B59" s="37"/>
      <c r="C59" s="37"/>
    </row>
    <row r="60" spans="1:12" x14ac:dyDescent="0.2">
      <c r="A60" s="37"/>
      <c r="B60" s="37" t="s">
        <v>47</v>
      </c>
      <c r="C60" s="37"/>
    </row>
    <row r="61" spans="1:12" x14ac:dyDescent="0.2">
      <c r="A61" s="37"/>
      <c r="B61" s="37" t="s">
        <v>48</v>
      </c>
      <c r="C61" s="37"/>
    </row>
    <row r="62" spans="1:12" x14ac:dyDescent="0.2">
      <c r="A62" s="37" t="s">
        <v>49</v>
      </c>
      <c r="B62" s="37" t="str">
        <f t="shared" ref="B62:B75" si="2">IF(OR($B4="nvarchar",$B4="varchar"),"string",IF($B4="datetime","DateTime",$B4))</f>
        <v>int</v>
      </c>
      <c r="C62" s="37" t="str">
        <f t="shared" ref="C62:C76" si="3">A4&amp;" "&amp;$C$54</f>
        <v>id  { get; set; }</v>
      </c>
    </row>
    <row r="63" spans="1:12" x14ac:dyDescent="0.2">
      <c r="A63" s="37" t="s">
        <v>49</v>
      </c>
      <c r="B63" s="37" t="str">
        <f t="shared" si="2"/>
        <v>string</v>
      </c>
      <c r="C63" s="37" t="str">
        <f t="shared" si="3"/>
        <v>ma  { get; set; }</v>
      </c>
    </row>
    <row r="64" spans="1:12" x14ac:dyDescent="0.2">
      <c r="A64" s="37" t="s">
        <v>49</v>
      </c>
      <c r="B64" s="37" t="str">
        <f t="shared" si="2"/>
        <v>string</v>
      </c>
      <c r="C64" s="37" t="str">
        <f t="shared" si="3"/>
        <v>url_link  { get; set; }</v>
      </c>
    </row>
    <row r="65" spans="1:3" x14ac:dyDescent="0.2">
      <c r="A65" s="37" t="s">
        <v>49</v>
      </c>
      <c r="B65" s="37" t="str">
        <f t="shared" si="2"/>
        <v>string</v>
      </c>
      <c r="C65" s="37" t="str">
        <f t="shared" si="3"/>
        <v>image_link  { get; set; }</v>
      </c>
    </row>
    <row r="66" spans="1:3" x14ac:dyDescent="0.2">
      <c r="A66" s="37" t="s">
        <v>49</v>
      </c>
      <c r="B66" s="37" t="str">
        <f t="shared" si="2"/>
        <v>string</v>
      </c>
      <c r="C66" s="37" t="str">
        <f t="shared" si="3"/>
        <v>noi_dung  { get; set; }</v>
      </c>
    </row>
    <row r="67" spans="1:3" x14ac:dyDescent="0.2">
      <c r="A67" s="37" t="s">
        <v>49</v>
      </c>
      <c r="B67" s="37" t="str">
        <f t="shared" si="2"/>
        <v>string</v>
      </c>
      <c r="C67" s="37" t="str">
        <f t="shared" si="3"/>
        <v>loai  { get; set; }</v>
      </c>
    </row>
    <row r="68" spans="1:3" x14ac:dyDescent="0.2">
      <c r="A68" s="37" t="s">
        <v>49</v>
      </c>
      <c r="B68" s="37" t="str">
        <f t="shared" si="2"/>
        <v>string</v>
      </c>
      <c r="C68" s="37" t="str">
        <f t="shared" si="3"/>
        <v>trang_thai  { get; set; }</v>
      </c>
    </row>
    <row r="69" spans="1:3" x14ac:dyDescent="0.2">
      <c r="A69" s="37" t="s">
        <v>49</v>
      </c>
      <c r="B69" s="37" t="str">
        <f t="shared" si="2"/>
        <v>DateTime</v>
      </c>
      <c r="C69" s="37" t="str">
        <f t="shared" si="3"/>
        <v>ngay_tao  { get; set; }</v>
      </c>
    </row>
    <row r="70" spans="1:3" x14ac:dyDescent="0.2">
      <c r="A70" s="37" t="s">
        <v>49</v>
      </c>
      <c r="B70" s="37" t="str">
        <f t="shared" si="2"/>
        <v>string</v>
      </c>
      <c r="C70" s="37" t="str">
        <f t="shared" si="3"/>
        <v>nguoi_tao  { get; set; }</v>
      </c>
    </row>
    <row r="71" spans="1:3" x14ac:dyDescent="0.2">
      <c r="A71" s="37" t="s">
        <v>49</v>
      </c>
      <c r="B71" s="37" t="str">
        <f t="shared" si="2"/>
        <v>DateTime</v>
      </c>
      <c r="C71" s="37" t="str">
        <f t="shared" si="3"/>
        <v>ngay_cap_nhat  { get; set; }</v>
      </c>
    </row>
    <row r="72" spans="1:3" x14ac:dyDescent="0.2">
      <c r="A72" s="37" t="s">
        <v>49</v>
      </c>
      <c r="B72" s="37" t="str">
        <f t="shared" si="2"/>
        <v>string</v>
      </c>
      <c r="C72" s="37" t="str">
        <f t="shared" si="3"/>
        <v>nguoi_cap_nhat  { get; set; }</v>
      </c>
    </row>
    <row r="73" spans="1:3" x14ac:dyDescent="0.2">
      <c r="A73" s="37" t="s">
        <v>49</v>
      </c>
      <c r="B73" s="37" t="str">
        <f t="shared" si="2"/>
        <v>string</v>
      </c>
      <c r="C73" s="37" t="str">
        <f t="shared" si="3"/>
        <v>ten_footer  { get; set; }</v>
      </c>
    </row>
    <row r="74" spans="1:3" x14ac:dyDescent="0.2">
      <c r="A74" s="37" t="s">
        <v>49</v>
      </c>
      <c r="B74" s="37" t="str">
        <f t="shared" si="2"/>
        <v>int</v>
      </c>
      <c r="C74" s="37" t="str">
        <f t="shared" si="3"/>
        <v>levels  { get; set; }</v>
      </c>
    </row>
    <row r="75" spans="1:3" x14ac:dyDescent="0.2">
      <c r="A75" s="37" t="s">
        <v>49</v>
      </c>
      <c r="B75" s="37" t="str">
        <f t="shared" si="2"/>
        <v>int</v>
      </c>
      <c r="C75" s="37" t="str">
        <f t="shared" si="3"/>
        <v>orders  { get; set; }</v>
      </c>
    </row>
    <row r="76" spans="1:3" x14ac:dyDescent="0.2">
      <c r="A76" s="37" t="s">
        <v>49</v>
      </c>
      <c r="B76" s="37" t="str">
        <f t="shared" ref="B76" si="4">IF(OR($B18="nvarchar",$B18="varchar"),"string",IF($B18="datetime","DateTime",$B18))</f>
        <v>boolean</v>
      </c>
      <c r="C76" s="37" t="str">
        <f t="shared" si="3"/>
        <v>hinh_anh  { get; set; }</v>
      </c>
    </row>
    <row r="77" spans="1:3" x14ac:dyDescent="0.2">
      <c r="A77" s="37" t="s">
        <v>50</v>
      </c>
    </row>
    <row r="78" spans="1:3" x14ac:dyDescent="0.2">
      <c r="A78" s="37" t="s">
        <v>72</v>
      </c>
    </row>
    <row r="79" spans="1:3" s="41" customFormat="1" x14ac:dyDescent="0.2">
      <c r="A79" s="40" t="str">
        <f>"DROP TABLE IF EXISTS "&amp;$B$1&amp;"s;"</f>
        <v>DROP TABLE IF EXISTS HeaderFooterMgnts;</v>
      </c>
    </row>
    <row r="80" spans="1:3" s="41" customFormat="1" x14ac:dyDescent="0.2">
      <c r="A80" s="42" t="str">
        <f>"CREATE TABLE "&amp;$B$1&amp;"("</f>
        <v>CREATE TABLE HeaderFooterMgnt(</v>
      </c>
    </row>
    <row r="81" spans="1:2" s="41" customFormat="1" x14ac:dyDescent="0.2">
      <c r="B81" s="41" t="str">
        <f t="shared" ref="B81:B94" si="5"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2" spans="1:2" s="41" customFormat="1" x14ac:dyDescent="0.2">
      <c r="B82" s="41" t="str">
        <f t="shared" si="5"/>
        <v xml:space="preserve">ma varchar(20) NOT NULL, </v>
      </c>
    </row>
    <row r="83" spans="1:2" s="41" customFormat="1" x14ac:dyDescent="0.2">
      <c r="B83" s="41" t="str">
        <f t="shared" si="5"/>
        <v xml:space="preserve">url_link nvarchar(500) NOT NULL, </v>
      </c>
    </row>
    <row r="84" spans="1:2" s="41" customFormat="1" x14ac:dyDescent="0.2">
      <c r="B84" s="41" t="str">
        <f t="shared" si="5"/>
        <v xml:space="preserve">image_link nvarchar(500) NOT NULL, </v>
      </c>
    </row>
    <row r="85" spans="1:2" s="41" customFormat="1" x14ac:dyDescent="0.2">
      <c r="B85" s="41" t="str">
        <f t="shared" si="5"/>
        <v xml:space="preserve">noi_dung nvarchar(MAX) NOT NULL, </v>
      </c>
    </row>
    <row r="86" spans="1:2" s="41" customFormat="1" x14ac:dyDescent="0.2">
      <c r="B86" s="41" t="str">
        <f t="shared" si="5"/>
        <v xml:space="preserve">loai varchar(50) NOT NULL, </v>
      </c>
    </row>
    <row r="87" spans="1:2" s="41" customFormat="1" x14ac:dyDescent="0.2">
      <c r="B87" s="41" t="str">
        <f t="shared" si="5"/>
        <v xml:space="preserve">trang_thai varchar(50) NOT NULL, </v>
      </c>
    </row>
    <row r="88" spans="1:2" s="41" customFormat="1" x14ac:dyDescent="0.2">
      <c r="B88" s="41" t="str">
        <f t="shared" si="5"/>
        <v xml:space="preserve">ngay_tao datetime NOT NULL, </v>
      </c>
    </row>
    <row r="89" spans="1:2" s="41" customFormat="1" x14ac:dyDescent="0.2">
      <c r="B89" s="41" t="str">
        <f t="shared" si="5"/>
        <v xml:space="preserve">nguoi_tao nvarchar(32) NULL, </v>
      </c>
    </row>
    <row r="90" spans="1:2" s="41" customFormat="1" x14ac:dyDescent="0.2">
      <c r="B90" s="41" t="str">
        <f t="shared" si="5"/>
        <v xml:space="preserve">ngay_cap_nhat datetime NULL, </v>
      </c>
    </row>
    <row r="91" spans="1:2" s="41" customFormat="1" x14ac:dyDescent="0.2">
      <c r="B91" s="41" t="str">
        <f t="shared" si="5"/>
        <v xml:space="preserve">nguoi_cap_nhat nvarchar(32) NULL, </v>
      </c>
    </row>
    <row r="92" spans="1:2" s="41" customFormat="1" x14ac:dyDescent="0.2">
      <c r="B92" s="41" t="str">
        <f t="shared" si="5"/>
        <v xml:space="preserve">ten_footer nvarchar(500) NULL, </v>
      </c>
    </row>
    <row r="93" spans="1:2" s="41" customFormat="1" x14ac:dyDescent="0.2">
      <c r="B93" s="41" t="str">
        <f t="shared" si="5"/>
        <v xml:space="preserve">levels int NULL, </v>
      </c>
    </row>
    <row r="94" spans="1:2" s="41" customFormat="1" x14ac:dyDescent="0.2">
      <c r="B94" s="41" t="str">
        <f t="shared" si="5"/>
        <v xml:space="preserve">orders int NULL, </v>
      </c>
    </row>
    <row r="95" spans="1:2" s="41" customFormat="1" x14ac:dyDescent="0.2">
      <c r="A95" s="41" t="s">
        <v>74</v>
      </c>
    </row>
    <row r="96" spans="1:2" s="41" customFormat="1" x14ac:dyDescent="0.2">
      <c r="B96" s="5" t="str">
        <f>IF(D4=TRUE, A4&amp;IF(D5="", "", ", "), "")</f>
        <v xml:space="preserve">id, </v>
      </c>
    </row>
    <row r="97" spans="1:2" s="41" customFormat="1" x14ac:dyDescent="0.2">
      <c r="B97" s="5" t="str">
        <f>IF(D5=TRUE, A5&amp;IF(D6="", "", ", "), "")</f>
        <v>ma</v>
      </c>
    </row>
    <row r="98" spans="1:2" s="41" customFormat="1" x14ac:dyDescent="0.2">
      <c r="B98" s="41" t="s">
        <v>75</v>
      </c>
    </row>
    <row r="99" spans="1:2" s="41" customFormat="1" x14ac:dyDescent="0.2">
      <c r="A99" s="41" t="s">
        <v>73</v>
      </c>
    </row>
    <row r="100" spans="1:2" s="41" customFormat="1" x14ac:dyDescent="0.2"/>
    <row r="101" spans="1:2" s="41" customFormat="1" x14ac:dyDescent="0.2"/>
    <row r="102" spans="1:2" s="41" customFormat="1" x14ac:dyDescent="0.2"/>
    <row r="103" spans="1:2" s="41" customFormat="1" x14ac:dyDescent="0.2"/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33"/>
  <sheetViews>
    <sheetView zoomScale="85" zoomScaleNormal="85" workbookViewId="0">
      <selection activeCell="A72" sqref="A72:C99"/>
    </sheetView>
  </sheetViews>
  <sheetFormatPr defaultRowHeight="12.75" x14ac:dyDescent="0.2"/>
  <cols>
    <col min="1" max="1" width="23.85546875" customWidth="1"/>
    <col min="2" max="2" width="32.14062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192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193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199</v>
      </c>
      <c r="B6" s="23" t="s">
        <v>20</v>
      </c>
      <c r="C6" s="27">
        <v>20</v>
      </c>
      <c r="F6" s="47" t="b">
        <v>0</v>
      </c>
      <c r="G6" s="23"/>
      <c r="H6" s="23"/>
      <c r="I6" s="24"/>
      <c r="J6" s="25"/>
    </row>
    <row r="7" spans="1:10" x14ac:dyDescent="0.2">
      <c r="A7" s="22" t="s">
        <v>217</v>
      </c>
      <c r="B7" s="23" t="s">
        <v>20</v>
      </c>
      <c r="C7" s="27">
        <v>45</v>
      </c>
      <c r="F7" s="47" t="b">
        <v>0</v>
      </c>
      <c r="G7" s="23"/>
      <c r="H7" s="23"/>
      <c r="I7" s="24"/>
      <c r="J7" s="25"/>
    </row>
    <row r="8" spans="1:10" x14ac:dyDescent="0.2">
      <c r="A8" s="22" t="s">
        <v>200</v>
      </c>
      <c r="B8" s="23" t="s">
        <v>20</v>
      </c>
      <c r="C8" s="27">
        <v>255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201</v>
      </c>
      <c r="B9" s="23" t="s">
        <v>20</v>
      </c>
      <c r="C9" s="27">
        <v>55</v>
      </c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22" t="s">
        <v>202</v>
      </c>
      <c r="B10" s="23" t="s">
        <v>20</v>
      </c>
      <c r="C10" s="27">
        <v>55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203</v>
      </c>
      <c r="B11" s="23" t="s">
        <v>20</v>
      </c>
      <c r="C11" s="27">
        <v>11</v>
      </c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59" t="s">
        <v>207</v>
      </c>
      <c r="B12" s="47" t="s">
        <v>56</v>
      </c>
      <c r="C12" s="58"/>
      <c r="D12" s="25"/>
      <c r="E12" s="25"/>
      <c r="F12" s="47" t="b">
        <v>1</v>
      </c>
      <c r="G12" s="25"/>
      <c r="H12" s="25"/>
      <c r="I12" s="25"/>
      <c r="J12" s="25"/>
    </row>
    <row r="13" spans="1:10" x14ac:dyDescent="0.2">
      <c r="A13" s="59" t="s">
        <v>208</v>
      </c>
      <c r="B13" s="47" t="s">
        <v>56</v>
      </c>
      <c r="C13" s="58"/>
      <c r="D13" s="25"/>
      <c r="E13" s="25"/>
      <c r="F13" s="47" t="b">
        <v>1</v>
      </c>
      <c r="G13" s="25"/>
      <c r="H13" s="25"/>
      <c r="I13" s="25"/>
      <c r="J13" s="25"/>
    </row>
    <row r="14" spans="1:10" x14ac:dyDescent="0.2">
      <c r="A14" s="59" t="s">
        <v>209</v>
      </c>
      <c r="B14" s="47" t="s">
        <v>56</v>
      </c>
      <c r="C14" s="58"/>
      <c r="D14" s="25"/>
      <c r="E14" s="25"/>
      <c r="F14" s="47" t="b">
        <v>1</v>
      </c>
      <c r="G14" s="25"/>
      <c r="H14" s="25"/>
      <c r="I14" s="25"/>
      <c r="J14" s="25"/>
    </row>
    <row r="15" spans="1:10" x14ac:dyDescent="0.2">
      <c r="A15" s="59" t="s">
        <v>210</v>
      </c>
      <c r="B15" s="47" t="s">
        <v>56</v>
      </c>
      <c r="C15" s="58"/>
      <c r="D15" s="25"/>
      <c r="E15" s="25"/>
      <c r="F15" s="47" t="b">
        <v>1</v>
      </c>
      <c r="G15" s="25"/>
      <c r="H15" s="25"/>
      <c r="I15" s="25"/>
      <c r="J15" s="25"/>
    </row>
    <row r="16" spans="1:10" x14ac:dyDescent="0.2">
      <c r="A16" s="59" t="s">
        <v>211</v>
      </c>
      <c r="B16" s="47" t="s">
        <v>56</v>
      </c>
      <c r="C16" s="58"/>
      <c r="D16" s="25"/>
      <c r="E16" s="25"/>
      <c r="F16" s="47" t="b">
        <v>1</v>
      </c>
      <c r="G16" s="25"/>
      <c r="H16" s="25"/>
      <c r="I16" s="25"/>
      <c r="J16" s="25"/>
    </row>
    <row r="17" spans="1:12" x14ac:dyDescent="0.2">
      <c r="A17" s="59" t="s">
        <v>212</v>
      </c>
      <c r="B17" s="47" t="s">
        <v>56</v>
      </c>
      <c r="C17" s="58"/>
      <c r="D17" s="25"/>
      <c r="E17" s="25"/>
      <c r="F17" s="47" t="b">
        <v>1</v>
      </c>
      <c r="G17" s="25"/>
      <c r="H17" s="25"/>
      <c r="I17" s="25"/>
      <c r="J17" s="25"/>
    </row>
    <row r="18" spans="1:12" x14ac:dyDescent="0.2">
      <c r="A18" s="59" t="s">
        <v>204</v>
      </c>
      <c r="B18" s="47" t="s">
        <v>20</v>
      </c>
      <c r="C18" s="58">
        <v>100</v>
      </c>
      <c r="D18" s="25"/>
      <c r="E18" s="25"/>
      <c r="F18" s="47" t="b">
        <v>0</v>
      </c>
      <c r="G18" s="25"/>
      <c r="H18" s="25"/>
      <c r="I18" s="25"/>
      <c r="J18" s="25"/>
    </row>
    <row r="19" spans="1:12" x14ac:dyDescent="0.2">
      <c r="A19" s="59" t="s">
        <v>213</v>
      </c>
      <c r="B19" s="47" t="s">
        <v>20</v>
      </c>
      <c r="C19" s="58">
        <v>50</v>
      </c>
      <c r="D19" s="25"/>
      <c r="E19" s="25"/>
      <c r="F19" s="47" t="b">
        <v>0</v>
      </c>
      <c r="G19" s="25"/>
      <c r="H19" s="25"/>
      <c r="I19" s="25"/>
      <c r="J19" s="25"/>
    </row>
    <row r="20" spans="1:12" x14ac:dyDescent="0.2">
      <c r="A20" s="36" t="s">
        <v>214</v>
      </c>
      <c r="B20" s="47" t="s">
        <v>9</v>
      </c>
      <c r="C20" s="58"/>
      <c r="D20" s="25"/>
      <c r="E20" s="25"/>
      <c r="F20" s="47" t="b">
        <v>1</v>
      </c>
      <c r="G20" s="25"/>
      <c r="H20" s="25"/>
      <c r="I20" s="25"/>
      <c r="J20" s="25"/>
    </row>
    <row r="21" spans="1:12" x14ac:dyDescent="0.2">
      <c r="A21" s="36" t="s">
        <v>215</v>
      </c>
      <c r="B21" s="47" t="s">
        <v>9</v>
      </c>
      <c r="C21" s="58"/>
      <c r="D21" s="25"/>
      <c r="E21" s="25"/>
      <c r="F21" s="47" t="b">
        <v>1</v>
      </c>
      <c r="G21" s="25"/>
      <c r="H21" s="25"/>
      <c r="I21" s="25"/>
      <c r="J21" s="25"/>
    </row>
    <row r="22" spans="1:12" x14ac:dyDescent="0.2">
      <c r="A22" s="36" t="s">
        <v>216</v>
      </c>
      <c r="B22" s="47" t="s">
        <v>9</v>
      </c>
      <c r="C22" s="58"/>
      <c r="D22" s="25"/>
      <c r="E22" s="25"/>
      <c r="F22" s="47" t="b">
        <v>1</v>
      </c>
      <c r="G22" s="25"/>
      <c r="H22" s="25"/>
      <c r="I22" s="25"/>
      <c r="J22" s="25"/>
    </row>
    <row r="23" spans="1:12" x14ac:dyDescent="0.2">
      <c r="A23" s="36" t="s">
        <v>21</v>
      </c>
      <c r="B23" s="47" t="s">
        <v>9</v>
      </c>
      <c r="C23" s="58"/>
      <c r="D23" s="25"/>
      <c r="E23" s="25"/>
      <c r="F23" s="47" t="b">
        <v>0</v>
      </c>
      <c r="G23" s="25"/>
      <c r="H23" s="25"/>
      <c r="I23" s="25"/>
      <c r="J23" s="25"/>
    </row>
    <row r="24" spans="1:12" x14ac:dyDescent="0.2">
      <c r="A24" s="36" t="s">
        <v>22</v>
      </c>
      <c r="B24" s="47" t="s">
        <v>20</v>
      </c>
      <c r="C24">
        <v>32</v>
      </c>
      <c r="F24" s="47" t="b">
        <v>0</v>
      </c>
    </row>
    <row r="25" spans="1:12" x14ac:dyDescent="0.2">
      <c r="A25" s="36" t="s">
        <v>23</v>
      </c>
      <c r="B25" s="47" t="s">
        <v>9</v>
      </c>
      <c r="C25" s="58"/>
      <c r="D25" s="25"/>
      <c r="E25" s="25"/>
      <c r="F25" s="47" t="b">
        <v>1</v>
      </c>
      <c r="G25" s="25"/>
      <c r="H25" s="25"/>
      <c r="I25" s="25"/>
      <c r="J25" s="25"/>
    </row>
    <row r="26" spans="1:12" ht="13.5" thickBot="1" x14ac:dyDescent="0.25">
      <c r="A26" s="36" t="s">
        <v>24</v>
      </c>
      <c r="B26" s="47" t="s">
        <v>20</v>
      </c>
      <c r="C26" s="54">
        <v>32</v>
      </c>
      <c r="F26" s="47" t="b">
        <v>1</v>
      </c>
    </row>
    <row r="27" spans="1:12" ht="13.5" thickBot="1" x14ac:dyDescent="0.25">
      <c r="A27" s="60" t="s">
        <v>10</v>
      </c>
      <c r="B27" s="61"/>
      <c r="C27" s="16"/>
      <c r="D27" s="17"/>
      <c r="E27" s="17"/>
      <c r="F27" s="18"/>
      <c r="G27" s="18"/>
      <c r="H27" s="18"/>
      <c r="I27" s="18"/>
      <c r="J27" s="18"/>
      <c r="K27" s="18"/>
      <c r="L27" s="18"/>
    </row>
    <row r="28" spans="1:12" x14ac:dyDescent="0.2">
      <c r="A28" s="5"/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5" t="str">
        <f>"if exists (select * from dbo.sysobjects where id = object_id(N'[dbo].["&amp;$B$1&amp;"]') and OBJECTPROPERTY(id, N'IsUserTable') = 1)"</f>
        <v>if exists (select * from dbo.sysobjects where id = object_id(N'[dbo].[Merchant_OrderHeader]') and OBJECTPROPERTY(id, N'IsUserTable') = 1)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 t="str">
        <f>"drop table [dbo].["&amp;$B$1&amp;"]"</f>
        <v>drop table [dbo].[Merchant_OrderHeader]</v>
      </c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9" t="s">
        <v>11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9"/>
      <c r="B32" s="5"/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 t="str">
        <f>"CREATE TABLE [dbo].["&amp;$B$1&amp;"] ("</f>
        <v>CREATE TABLE [dbo].[Merchant_OrderHeader] (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ref="B35:B56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[ma_don_hang] [varchar] (20)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[ma_khach_hang] [nvarchar] (20)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[hoten] [nvarchar] (45)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[dia_chi_giao_hang] [nvarchar] (255)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[quan_huyen_giao] [nvarchar] (55)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[tinh_thanh_giao] [nvarchar] (55) NOT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[so_dien_thoai_giao] [nvarchar] (11) NOT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[so_loai_san_pham] [float]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[so_luong_san_pham] [float]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[so_luong_khuyen_mai] [float]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[tong_tien_don_hang] [float]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[tong_tien_khuyen_mai] [float]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 xml:space="preserve">[tong_tien_thanh_toan] [float]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 t="str">
        <f t="shared" si="0"/>
        <v xml:space="preserve">[hinh_thuc_thanh_toan] [nvarchar] (100) NOT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10"/>
      <c r="B49" s="5" t="str">
        <f t="shared" si="0"/>
        <v xml:space="preserve">[trang_thai_don_hang] [nvarchar] (50) NOT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10"/>
      <c r="B50" s="5" t="str">
        <f t="shared" si="0"/>
        <v xml:space="preserve">[ngay_xac_nhan] [datetime]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10"/>
      <c r="B51" s="5" t="str">
        <f t="shared" si="0"/>
        <v xml:space="preserve">[ngay_lay_hang] [datetime]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10"/>
      <c r="B52" s="5" t="str">
        <f t="shared" si="0"/>
        <v xml:space="preserve">[ngay_giao_hang] [datetime]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10"/>
      <c r="B53" s="5" t="str">
        <f t="shared" si="0"/>
        <v xml:space="preserve">[ngay_tao] [datetime] NOT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10"/>
      <c r="B54" s="5" t="str">
        <f t="shared" si="0"/>
        <v xml:space="preserve">[nguoi_tao] [nvarchar] (32) NOT NULL, 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10"/>
      <c r="B55" s="5" t="str">
        <f t="shared" si="0"/>
        <v xml:space="preserve">[ngay_cap_nhat] [datetime]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10"/>
      <c r="B56" s="5" t="str">
        <f t="shared" si="0"/>
        <v xml:space="preserve">[nguoi_cap_nhat] [nvarchar] (32) NULL, </v>
      </c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 t="s">
        <v>12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 t="s">
        <v>11</v>
      </c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9"/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">
      <c r="A60" s="9" t="str">
        <f>"ALTER TABLE [dbo].["&amp;$B$1&amp;"] ADD"</f>
        <v>ALTER TABLE [dbo].[Merchant_OrderHeader] ADD</v>
      </c>
      <c r="B60" s="5"/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">
      <c r="A61" s="9"/>
      <c r="B61" s="5" t="str">
        <f>"CONSTRAINT [PK_"&amp;$B$1&amp;"] PRIMARY KEY  CLUSTERED"</f>
        <v>CONSTRAINT [PK_Merchant_OrderHeader] PRIMARY KEY  CLUSTERED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">
      <c r="A62" s="9"/>
      <c r="B62" s="5" t="s">
        <v>13</v>
      </c>
      <c r="C62" s="5"/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">
      <c r="A63" s="9"/>
      <c r="B63" s="5"/>
      <c r="C63" s="5" t="str">
        <f>IF(D4=TRUE, "["&amp;A4&amp;"]"&amp;IF(D5="", "", ", "), "")</f>
        <v xml:space="preserve">[id], </v>
      </c>
      <c r="D63" s="5"/>
      <c r="E63" s="5"/>
      <c r="F63" s="6"/>
      <c r="G63" s="5"/>
      <c r="H63" s="5"/>
      <c r="I63" s="7"/>
      <c r="J63" s="7"/>
      <c r="K63" s="5"/>
      <c r="L63" s="8"/>
    </row>
    <row r="64" spans="1:12" x14ac:dyDescent="0.2">
      <c r="A64" s="9"/>
      <c r="B64" s="5"/>
      <c r="C64" s="5" t="str">
        <f>IF(D5=TRUE, "["&amp;A5&amp;"]"&amp;IF(D6="", "", ", "), "")</f>
        <v>[ma_don_hang]</v>
      </c>
      <c r="D64" s="5"/>
      <c r="E64" s="5"/>
      <c r="F64" s="6"/>
      <c r="G64" s="5"/>
      <c r="H64" s="5"/>
      <c r="I64" s="7"/>
      <c r="J64" s="7"/>
      <c r="K64" s="5"/>
      <c r="L64" s="8"/>
    </row>
    <row r="65" spans="1:12" x14ac:dyDescent="0.2">
      <c r="A65" s="9"/>
      <c r="B65" s="5" t="s">
        <v>14</v>
      </c>
      <c r="C65" s="5"/>
      <c r="D65" s="5"/>
      <c r="E65" s="5"/>
      <c r="F65" s="6"/>
      <c r="G65" s="5"/>
      <c r="H65" s="5"/>
      <c r="I65" s="7"/>
      <c r="J65" s="7"/>
      <c r="K65" s="5"/>
      <c r="L65" s="8"/>
    </row>
    <row r="66" spans="1:12" ht="13.5" thickBot="1" x14ac:dyDescent="0.25">
      <c r="A66" s="11" t="s">
        <v>11</v>
      </c>
      <c r="B66" s="12"/>
      <c r="C66" s="12"/>
      <c r="D66" s="12"/>
      <c r="E66" s="12"/>
      <c r="F66" s="13"/>
      <c r="G66" s="12"/>
      <c r="H66" s="12"/>
      <c r="I66" s="14"/>
      <c r="J66" s="14"/>
      <c r="K66" s="12"/>
      <c r="L66" s="15"/>
    </row>
    <row r="67" spans="1:12" x14ac:dyDescent="0.2">
      <c r="A67" s="2"/>
      <c r="B67" s="2"/>
      <c r="C67" s="2"/>
      <c r="D67" s="2"/>
      <c r="E67" s="2"/>
      <c r="F67" s="3"/>
      <c r="G67" s="2"/>
      <c r="H67" s="2"/>
      <c r="I67" s="4"/>
      <c r="J67" s="4"/>
      <c r="K67" s="2"/>
      <c r="L67" s="2"/>
    </row>
    <row r="68" spans="1:12" x14ac:dyDescent="0.2">
      <c r="C68" t="s">
        <v>44</v>
      </c>
    </row>
    <row r="72" spans="1:12" x14ac:dyDescent="0.2">
      <c r="A72" s="37" t="s">
        <v>45</v>
      </c>
      <c r="B72" s="37" t="str">
        <f>B1</f>
        <v>Merchant_OrderHeader</v>
      </c>
      <c r="C72" s="37"/>
    </row>
    <row r="73" spans="1:12" x14ac:dyDescent="0.2">
      <c r="A73" s="37" t="s">
        <v>46</v>
      </c>
      <c r="B73" s="37"/>
      <c r="C73" s="37"/>
    </row>
    <row r="74" spans="1:12" x14ac:dyDescent="0.2">
      <c r="A74" s="37"/>
      <c r="B74" s="37" t="s">
        <v>47</v>
      </c>
      <c r="C74" s="37"/>
    </row>
    <row r="75" spans="1:12" x14ac:dyDescent="0.2">
      <c r="A75" s="37"/>
      <c r="B75" s="37" t="s">
        <v>48</v>
      </c>
      <c r="C75" s="37"/>
    </row>
    <row r="76" spans="1:12" x14ac:dyDescent="0.2">
      <c r="A76" s="37" t="s">
        <v>49</v>
      </c>
      <c r="B76" s="37" t="str">
        <f>IF(OR($B4="nvarchar",$B4="varchar"),"string",IF($B4="datetime","DateTime",$B4))</f>
        <v>int</v>
      </c>
      <c r="C76" s="37" t="str">
        <f>A4&amp;" "&amp;$C$68</f>
        <v>id  { get; set; }</v>
      </c>
    </row>
    <row r="77" spans="1:12" x14ac:dyDescent="0.2">
      <c r="A77" s="37" t="s">
        <v>49</v>
      </c>
      <c r="B77" s="37" t="str">
        <f t="shared" ref="B77:B98" si="1">IF(OR($B5="nvarchar",$B5="varchar"),"string",IF($B5="datetime","DateTime",$B5))</f>
        <v>string</v>
      </c>
      <c r="C77" s="37" t="str">
        <f t="shared" ref="C77:C98" si="2">A5&amp;" "&amp;$C$68</f>
        <v>ma_don_hang  { get; set; }</v>
      </c>
    </row>
    <row r="78" spans="1:12" x14ac:dyDescent="0.2">
      <c r="A78" s="37" t="s">
        <v>49</v>
      </c>
      <c r="B78" s="37" t="str">
        <f t="shared" si="1"/>
        <v>string</v>
      </c>
      <c r="C78" s="37" t="str">
        <f t="shared" si="2"/>
        <v>ma_khach_hang  { get; set; }</v>
      </c>
    </row>
    <row r="79" spans="1:12" x14ac:dyDescent="0.2">
      <c r="A79" s="37" t="s">
        <v>49</v>
      </c>
      <c r="B79" s="37" t="str">
        <f t="shared" si="1"/>
        <v>string</v>
      </c>
      <c r="C79" s="37" t="str">
        <f t="shared" si="2"/>
        <v>hoten  { get; set; }</v>
      </c>
    </row>
    <row r="80" spans="1:12" x14ac:dyDescent="0.2">
      <c r="A80" s="37" t="s">
        <v>49</v>
      </c>
      <c r="B80" s="37" t="str">
        <f t="shared" si="1"/>
        <v>string</v>
      </c>
      <c r="C80" s="37" t="str">
        <f t="shared" si="2"/>
        <v>dia_chi_giao_hang  { get; set; }</v>
      </c>
    </row>
    <row r="81" spans="1:3" x14ac:dyDescent="0.2">
      <c r="A81" s="37" t="s">
        <v>49</v>
      </c>
      <c r="B81" s="37" t="str">
        <f t="shared" si="1"/>
        <v>string</v>
      </c>
      <c r="C81" s="37" t="str">
        <f t="shared" si="2"/>
        <v>quan_huyen_giao  { get; set; }</v>
      </c>
    </row>
    <row r="82" spans="1:3" x14ac:dyDescent="0.2">
      <c r="A82" s="37" t="s">
        <v>49</v>
      </c>
      <c r="B82" s="37" t="str">
        <f t="shared" si="1"/>
        <v>string</v>
      </c>
      <c r="C82" s="37" t="str">
        <f t="shared" si="2"/>
        <v>tinh_thanh_giao  { get; set; }</v>
      </c>
    </row>
    <row r="83" spans="1:3" x14ac:dyDescent="0.2">
      <c r="A83" s="37" t="s">
        <v>49</v>
      </c>
      <c r="B83" s="37" t="str">
        <f t="shared" si="1"/>
        <v>string</v>
      </c>
      <c r="C83" s="37" t="str">
        <f t="shared" si="2"/>
        <v>so_dien_thoai_giao  { get; set; }</v>
      </c>
    </row>
    <row r="84" spans="1:3" x14ac:dyDescent="0.2">
      <c r="A84" s="37" t="s">
        <v>49</v>
      </c>
      <c r="B84" s="37" t="str">
        <f t="shared" si="1"/>
        <v>float</v>
      </c>
      <c r="C84" s="37" t="str">
        <f t="shared" si="2"/>
        <v>so_loai_san_pham  { get; set; }</v>
      </c>
    </row>
    <row r="85" spans="1:3" x14ac:dyDescent="0.2">
      <c r="A85" s="37" t="s">
        <v>49</v>
      </c>
      <c r="B85" s="37" t="str">
        <f t="shared" si="1"/>
        <v>float</v>
      </c>
      <c r="C85" s="37" t="str">
        <f t="shared" si="2"/>
        <v>so_luong_san_pham  { get; set; }</v>
      </c>
    </row>
    <row r="86" spans="1:3" x14ac:dyDescent="0.2">
      <c r="A86" s="37" t="s">
        <v>49</v>
      </c>
      <c r="B86" s="37" t="str">
        <f t="shared" si="1"/>
        <v>float</v>
      </c>
      <c r="C86" s="37" t="str">
        <f t="shared" si="2"/>
        <v>so_luong_khuyen_mai  { get; set; }</v>
      </c>
    </row>
    <row r="87" spans="1:3" x14ac:dyDescent="0.2">
      <c r="A87" s="37" t="s">
        <v>49</v>
      </c>
      <c r="B87" s="37" t="str">
        <f t="shared" si="1"/>
        <v>float</v>
      </c>
      <c r="C87" s="37" t="str">
        <f t="shared" si="2"/>
        <v>tong_tien_don_hang  { get; set; }</v>
      </c>
    </row>
    <row r="88" spans="1:3" x14ac:dyDescent="0.2">
      <c r="A88" s="37" t="s">
        <v>49</v>
      </c>
      <c r="B88" s="37" t="str">
        <f t="shared" si="1"/>
        <v>float</v>
      </c>
      <c r="C88" s="37" t="str">
        <f t="shared" si="2"/>
        <v>tong_tien_khuyen_mai  { get; set; }</v>
      </c>
    </row>
    <row r="89" spans="1:3" x14ac:dyDescent="0.2">
      <c r="A89" s="37" t="s">
        <v>49</v>
      </c>
      <c r="B89" s="37" t="str">
        <f t="shared" si="1"/>
        <v>float</v>
      </c>
      <c r="C89" s="37" t="str">
        <f t="shared" si="2"/>
        <v>tong_tien_thanh_toan  { get; set; }</v>
      </c>
    </row>
    <row r="90" spans="1:3" x14ac:dyDescent="0.2">
      <c r="A90" s="37" t="s">
        <v>49</v>
      </c>
      <c r="B90" s="37" t="str">
        <f t="shared" si="1"/>
        <v>string</v>
      </c>
      <c r="C90" s="37" t="str">
        <f t="shared" si="2"/>
        <v>hinh_thuc_thanh_toan  { get; set; }</v>
      </c>
    </row>
    <row r="91" spans="1:3" x14ac:dyDescent="0.2">
      <c r="A91" s="37" t="s">
        <v>49</v>
      </c>
      <c r="B91" s="37" t="str">
        <f t="shared" si="1"/>
        <v>string</v>
      </c>
      <c r="C91" s="37" t="str">
        <f t="shared" si="2"/>
        <v>trang_thai_don_hang  { get; set; }</v>
      </c>
    </row>
    <row r="92" spans="1:3" x14ac:dyDescent="0.2">
      <c r="A92" s="37" t="s">
        <v>49</v>
      </c>
      <c r="B92" s="37" t="str">
        <f t="shared" si="1"/>
        <v>DateTime</v>
      </c>
      <c r="C92" s="37" t="str">
        <f t="shared" si="2"/>
        <v>ngay_xac_nhan  { get; set; }</v>
      </c>
    </row>
    <row r="93" spans="1:3" x14ac:dyDescent="0.2">
      <c r="A93" s="37" t="s">
        <v>49</v>
      </c>
      <c r="B93" s="37" t="str">
        <f t="shared" si="1"/>
        <v>DateTime</v>
      </c>
      <c r="C93" s="37" t="str">
        <f t="shared" si="2"/>
        <v>ngay_lay_hang  { get; set; }</v>
      </c>
    </row>
    <row r="94" spans="1:3" x14ac:dyDescent="0.2">
      <c r="A94" s="37" t="s">
        <v>49</v>
      </c>
      <c r="B94" s="37" t="str">
        <f t="shared" si="1"/>
        <v>DateTime</v>
      </c>
      <c r="C94" s="37" t="str">
        <f t="shared" si="2"/>
        <v>ngay_giao_hang  { get; set; }</v>
      </c>
    </row>
    <row r="95" spans="1:3" x14ac:dyDescent="0.2">
      <c r="A95" s="37" t="s">
        <v>49</v>
      </c>
      <c r="B95" s="37" t="str">
        <f t="shared" si="1"/>
        <v>DateTime</v>
      </c>
      <c r="C95" s="37" t="str">
        <f t="shared" si="2"/>
        <v>ngay_tao  { get; set; }</v>
      </c>
    </row>
    <row r="96" spans="1:3" x14ac:dyDescent="0.2">
      <c r="A96" s="37" t="s">
        <v>49</v>
      </c>
      <c r="B96" s="37" t="str">
        <f t="shared" si="1"/>
        <v>string</v>
      </c>
      <c r="C96" s="37" t="str">
        <f t="shared" si="2"/>
        <v>nguoi_tao  { get; set; }</v>
      </c>
    </row>
    <row r="97" spans="1:3" x14ac:dyDescent="0.2">
      <c r="A97" s="37" t="s">
        <v>49</v>
      </c>
      <c r="B97" s="37" t="str">
        <f t="shared" si="1"/>
        <v>DateTime</v>
      </c>
      <c r="C97" s="37" t="str">
        <f t="shared" si="2"/>
        <v>ngay_cap_nhat  { get; set; }</v>
      </c>
    </row>
    <row r="98" spans="1:3" x14ac:dyDescent="0.2">
      <c r="A98" s="37" t="s">
        <v>49</v>
      </c>
      <c r="B98" s="37" t="str">
        <f t="shared" si="1"/>
        <v>string</v>
      </c>
      <c r="C98" s="37" t="str">
        <f t="shared" si="2"/>
        <v>nguoi_cap_nhat  { get; set; }</v>
      </c>
    </row>
    <row r="99" spans="1:3" x14ac:dyDescent="0.2">
      <c r="A99" s="37" t="s">
        <v>50</v>
      </c>
    </row>
    <row r="100" spans="1:3" x14ac:dyDescent="0.2">
      <c r="A100" s="37" t="s">
        <v>72</v>
      </c>
    </row>
    <row r="101" spans="1:3" s="41" customFormat="1" x14ac:dyDescent="0.2">
      <c r="A101" s="40" t="str">
        <f>"DROP TABLE IF EXISTS "&amp;$B$1&amp;"s;"</f>
        <v>DROP TABLE IF EXISTS Merchant_OrderHeaders;</v>
      </c>
    </row>
    <row r="102" spans="1:3" s="41" customFormat="1" x14ac:dyDescent="0.2">
      <c r="A102" s="42" t="str">
        <f>"CREATE TABLE "&amp;$B$1&amp;"("</f>
        <v>CREATE TABLE Merchant_OrderHeader(</v>
      </c>
    </row>
    <row r="103" spans="1:3" s="41" customFormat="1" x14ac:dyDescent="0.2">
      <c r="B103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104" spans="1:3" s="41" customFormat="1" x14ac:dyDescent="0.2">
      <c r="B104" s="41" t="str">
        <f t="shared" ref="B104:B124" si="3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ma_don_hang varchar(20) NOT NULL, </v>
      </c>
    </row>
    <row r="105" spans="1:3" s="41" customFormat="1" x14ac:dyDescent="0.2">
      <c r="B105" s="41" t="str">
        <f t="shared" si="3"/>
        <v xml:space="preserve">ma_khach_hang nvarchar(20) NOT NULL, </v>
      </c>
    </row>
    <row r="106" spans="1:3" s="41" customFormat="1" x14ac:dyDescent="0.2">
      <c r="B106" s="41" t="str">
        <f t="shared" si="3"/>
        <v xml:space="preserve">hoten nvarchar(45) NOT NULL, </v>
      </c>
    </row>
    <row r="107" spans="1:3" s="41" customFormat="1" x14ac:dyDescent="0.2">
      <c r="B107" s="41" t="str">
        <f t="shared" si="3"/>
        <v xml:space="preserve">dia_chi_giao_hang nvarchar(255) NOT NULL, </v>
      </c>
    </row>
    <row r="108" spans="1:3" s="41" customFormat="1" x14ac:dyDescent="0.2">
      <c r="B108" s="41" t="str">
        <f t="shared" si="3"/>
        <v xml:space="preserve">quan_huyen_giao nvarchar(55) NOT NULL, </v>
      </c>
    </row>
    <row r="109" spans="1:3" s="41" customFormat="1" x14ac:dyDescent="0.2">
      <c r="B109" s="41" t="str">
        <f t="shared" si="3"/>
        <v xml:space="preserve">tinh_thanh_giao nvarchar(55) NOT NULL, </v>
      </c>
    </row>
    <row r="110" spans="1:3" s="41" customFormat="1" x14ac:dyDescent="0.2">
      <c r="B110" s="41" t="str">
        <f t="shared" si="3"/>
        <v xml:space="preserve">so_dien_thoai_giao nvarchar(11) NOT NULL, </v>
      </c>
    </row>
    <row r="111" spans="1:3" s="41" customFormat="1" x14ac:dyDescent="0.2">
      <c r="B111" s="41" t="str">
        <f t="shared" si="3"/>
        <v xml:space="preserve">so_loai_san_pham float NULL, </v>
      </c>
    </row>
    <row r="112" spans="1:3" s="41" customFormat="1" x14ac:dyDescent="0.2">
      <c r="B112" s="41" t="str">
        <f t="shared" si="3"/>
        <v xml:space="preserve">so_luong_san_pham float NULL, </v>
      </c>
    </row>
    <row r="113" spans="1:2" s="41" customFormat="1" x14ac:dyDescent="0.2">
      <c r="B113" s="41" t="str">
        <f t="shared" si="3"/>
        <v xml:space="preserve">so_luong_khuyen_mai float NULL, </v>
      </c>
    </row>
    <row r="114" spans="1:2" s="41" customFormat="1" x14ac:dyDescent="0.2">
      <c r="B114" s="41" t="str">
        <f t="shared" si="3"/>
        <v xml:space="preserve">tong_tien_don_hang float NULL, </v>
      </c>
    </row>
    <row r="115" spans="1:2" s="41" customFormat="1" x14ac:dyDescent="0.2">
      <c r="B115" s="41" t="str">
        <f t="shared" si="3"/>
        <v xml:space="preserve">tong_tien_khuyen_mai float NULL, </v>
      </c>
    </row>
    <row r="116" spans="1:2" s="41" customFormat="1" x14ac:dyDescent="0.2">
      <c r="B116" s="41" t="str">
        <f t="shared" si="3"/>
        <v xml:space="preserve">tong_tien_thanh_toan float NULL, </v>
      </c>
    </row>
    <row r="117" spans="1:2" s="41" customFormat="1" x14ac:dyDescent="0.2">
      <c r="B117" s="41" t="str">
        <f t="shared" si="3"/>
        <v xml:space="preserve">hinh_thuc_thanh_toan nvarchar(100) NOT NULL, </v>
      </c>
    </row>
    <row r="118" spans="1:2" s="41" customFormat="1" x14ac:dyDescent="0.2">
      <c r="B118" s="41" t="str">
        <f t="shared" si="3"/>
        <v xml:space="preserve">trang_thai_don_hang nvarchar(50) NOT NULL, </v>
      </c>
    </row>
    <row r="119" spans="1:2" s="41" customFormat="1" x14ac:dyDescent="0.2">
      <c r="B119" s="41" t="str">
        <f t="shared" si="3"/>
        <v xml:space="preserve">ngay_xac_nhan datetime NULL, </v>
      </c>
    </row>
    <row r="120" spans="1:2" s="41" customFormat="1" x14ac:dyDescent="0.2">
      <c r="B120" s="41" t="str">
        <f t="shared" si="3"/>
        <v xml:space="preserve">ngay_lay_hang datetime NULL, </v>
      </c>
    </row>
    <row r="121" spans="1:2" s="41" customFormat="1" x14ac:dyDescent="0.2">
      <c r="B121" s="41" t="str">
        <f t="shared" si="3"/>
        <v xml:space="preserve">ngay_giao_hang datetime NULL, </v>
      </c>
    </row>
    <row r="122" spans="1:2" s="41" customFormat="1" x14ac:dyDescent="0.2">
      <c r="B122" s="41" t="str">
        <f t="shared" si="3"/>
        <v xml:space="preserve">ngay_tao datetime NOT NULL, </v>
      </c>
    </row>
    <row r="123" spans="1:2" s="41" customFormat="1" x14ac:dyDescent="0.2">
      <c r="B123" s="41" t="str">
        <f t="shared" si="3"/>
        <v xml:space="preserve">nguoi_tao nvarchar(32) NOT NULL, </v>
      </c>
    </row>
    <row r="124" spans="1:2" s="41" customFormat="1" x14ac:dyDescent="0.2">
      <c r="B124" s="41" t="str">
        <f t="shared" si="3"/>
        <v xml:space="preserve">ngay_cap_nhat datetime NULL, </v>
      </c>
    </row>
    <row r="125" spans="1:2" s="41" customFormat="1" x14ac:dyDescent="0.2">
      <c r="A125" s="41" t="s">
        <v>74</v>
      </c>
    </row>
    <row r="126" spans="1:2" s="41" customFormat="1" x14ac:dyDescent="0.2">
      <c r="B126" s="5" t="str">
        <f>IF(D4=TRUE, A4&amp;IF(D5="", "", ", "), "")</f>
        <v xml:space="preserve">id, </v>
      </c>
    </row>
    <row r="127" spans="1:2" s="41" customFormat="1" x14ac:dyDescent="0.2">
      <c r="B127" s="5" t="str">
        <f>IF(D5=TRUE, A5&amp;IF(D6="", "", ", "), "")</f>
        <v>ma_don_hang</v>
      </c>
    </row>
    <row r="128" spans="1:2" s="41" customFormat="1" x14ac:dyDescent="0.2">
      <c r="B128" s="41" t="s">
        <v>75</v>
      </c>
    </row>
    <row r="129" spans="1:1" s="41" customFormat="1" x14ac:dyDescent="0.2">
      <c r="A129" s="41" t="s">
        <v>73</v>
      </c>
    </row>
    <row r="130" spans="1:1" s="41" customFormat="1" x14ac:dyDescent="0.2"/>
    <row r="131" spans="1:1" s="41" customFormat="1" x14ac:dyDescent="0.2"/>
    <row r="132" spans="1:1" s="41" customFormat="1" x14ac:dyDescent="0.2"/>
    <row r="133" spans="1:1" s="41" customFormat="1" x14ac:dyDescent="0.2"/>
  </sheetData>
  <mergeCells count="1">
    <mergeCell ref="A27:B27"/>
  </mergeCells>
  <hyperlinks>
    <hyperlink ref="D1" location="'Sheet List'!A1" display="back to list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4"/>
  <sheetViews>
    <sheetView topLeftCell="A19" zoomScaleNormal="100" workbookViewId="0">
      <selection activeCell="A57" sqref="A57:C76"/>
    </sheetView>
  </sheetViews>
  <sheetFormatPr defaultRowHeight="12.75" x14ac:dyDescent="0.2"/>
  <cols>
    <col min="1" max="1" width="23.85546875" customWidth="1"/>
    <col min="2" max="2" width="32.14062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195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22" t="s">
        <v>193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26</v>
      </c>
      <c r="B6" s="23" t="s">
        <v>20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52</v>
      </c>
      <c r="B7" s="23" t="s">
        <v>20</v>
      </c>
      <c r="C7" s="27">
        <v>20</v>
      </c>
      <c r="D7" s="23" t="b">
        <v>1</v>
      </c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54</v>
      </c>
      <c r="B8" s="23" t="s">
        <v>20</v>
      </c>
      <c r="C8" s="27">
        <v>512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60</v>
      </c>
      <c r="B9" s="23" t="s">
        <v>56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22" t="s">
        <v>186</v>
      </c>
      <c r="B10" s="23" t="s">
        <v>7</v>
      </c>
      <c r="C10" s="27">
        <v>11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205</v>
      </c>
      <c r="B11" s="23" t="s">
        <v>56</v>
      </c>
      <c r="C11" s="27"/>
      <c r="D11" s="23"/>
      <c r="E11" s="23"/>
      <c r="F11" s="23" t="b">
        <v>1</v>
      </c>
      <c r="G11" s="23"/>
      <c r="H11" s="23"/>
      <c r="I11" s="24"/>
      <c r="J11" s="25"/>
    </row>
    <row r="12" spans="1:10" x14ac:dyDescent="0.2">
      <c r="A12" s="22" t="s">
        <v>164</v>
      </c>
      <c r="B12" s="23" t="s">
        <v>7</v>
      </c>
      <c r="C12" s="27">
        <v>11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">
      <c r="A13" s="22" t="s">
        <v>206</v>
      </c>
      <c r="B13" s="23" t="s">
        <v>19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36" t="s">
        <v>21</v>
      </c>
      <c r="B14" s="47" t="s">
        <v>9</v>
      </c>
      <c r="C14" s="58"/>
      <c r="D14" s="25"/>
      <c r="E14" s="25"/>
      <c r="F14" s="47" t="b">
        <v>0</v>
      </c>
      <c r="G14" s="25"/>
      <c r="H14" s="25"/>
      <c r="I14" s="25"/>
      <c r="J14" s="25"/>
    </row>
    <row r="15" spans="1:10" x14ac:dyDescent="0.2">
      <c r="A15" s="36" t="s">
        <v>22</v>
      </c>
      <c r="B15" s="47" t="s">
        <v>20</v>
      </c>
      <c r="C15">
        <v>32</v>
      </c>
      <c r="F15" s="47" t="b">
        <v>0</v>
      </c>
    </row>
    <row r="16" spans="1:10" x14ac:dyDescent="0.2">
      <c r="A16" s="36" t="s">
        <v>23</v>
      </c>
      <c r="B16" s="47" t="s">
        <v>9</v>
      </c>
      <c r="C16" s="58"/>
      <c r="D16" s="25"/>
      <c r="E16" s="25"/>
      <c r="F16" s="47" t="b">
        <v>1</v>
      </c>
      <c r="G16" s="25"/>
      <c r="H16" s="25"/>
      <c r="I16" s="25"/>
      <c r="J16" s="25"/>
    </row>
    <row r="17" spans="1:12" x14ac:dyDescent="0.2">
      <c r="A17" s="36" t="s">
        <v>24</v>
      </c>
      <c r="B17" s="47" t="s">
        <v>20</v>
      </c>
      <c r="C17" s="54">
        <v>32</v>
      </c>
      <c r="F17" s="47" t="b">
        <v>1</v>
      </c>
    </row>
    <row r="18" spans="1:12" ht="13.5" thickBot="1" x14ac:dyDescent="0.25">
      <c r="A18" s="36" t="s">
        <v>160</v>
      </c>
      <c r="B18" s="47" t="s">
        <v>20</v>
      </c>
      <c r="C18">
        <v>1000</v>
      </c>
      <c r="F18" s="47" t="b">
        <v>1</v>
      </c>
    </row>
    <row r="19" spans="1:12" ht="13.5" thickBot="1" x14ac:dyDescent="0.25">
      <c r="A19" s="60" t="s">
        <v>10</v>
      </c>
      <c r="B19" s="61"/>
      <c r="C19" s="16"/>
      <c r="D19" s="17"/>
      <c r="E19" s="17"/>
      <c r="F19" s="18"/>
      <c r="G19" s="18"/>
      <c r="H19" s="18"/>
      <c r="I19" s="18"/>
      <c r="J19" s="18"/>
      <c r="K19" s="18"/>
      <c r="L19" s="18"/>
    </row>
    <row r="20" spans="1:12" x14ac:dyDescent="0.2">
      <c r="A20" s="5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5" t="str">
        <f>"if exists (select * from dbo.sysobjects where id = object_id(N'[dbo].["&amp;$B$1&amp;"]') and OBJECTPROPERTY(id, N'IsUserTable') = 1)"</f>
        <v>if exists (select * from dbo.sysobjects where id = object_id(N'[dbo].[Merchant_OrderDetail]') and OBJECTPROPERTY(id, N'IsUserTable') = 1)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9" t="str">
        <f>"drop table [dbo].["&amp;$B$1&amp;"]"</f>
        <v>drop table [dbo].[Merchant_OrderDetail]</v>
      </c>
      <c r="B22" s="5"/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9" t="s">
        <v>11</v>
      </c>
      <c r="B23" s="5"/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9"/>
      <c r="B24" s="5"/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 t="str">
        <f>"CREATE TABLE [dbo].["&amp;$B$1&amp;"] ("</f>
        <v>CREATE TABLE [dbo].[Merchant_OrderDetail] (</v>
      </c>
      <c r="B25" s="5"/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ref="B27:B39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[ma_don_hang] [varchar] (20) NOT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[ma_gian_hang] [nvarchar] (20)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[ma_san_pham] [nvarchar] (20)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[ten_san_pham] [nvarchar] (512)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[don_gia] [float] NOT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[so_luong] [varchar] (11)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si="0"/>
        <v xml:space="preserve">[khuyen_mai] [float]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[thanh_tien] [varchar] (11)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[sp_khuyen_mai] [int]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[ngay_tao] [datetime]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[nguoi_tao] [nvarchar] (32)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[ngay_cap_nhat] [datetime]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[nguoi_cap_nhat] [nvarchar] (32)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 t="s">
        <v>12</v>
      </c>
      <c r="B40" s="5"/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 t="s">
        <v>11</v>
      </c>
      <c r="B41" s="5"/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/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9" t="str">
        <f>"ALTER TABLE [dbo].["&amp;$B$1&amp;"] ADD"</f>
        <v>ALTER TABLE [dbo].[Merchant_OrderDetail] ADD</v>
      </c>
      <c r="B43" s="5"/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9"/>
      <c r="B44" s="5" t="str">
        <f>"CONSTRAINT [PK_"&amp;$B$1&amp;"] PRIMARY KEY  CLUSTERED"</f>
        <v>CONSTRAINT [PK_Merchant_OrderDetail] PRIMARY KEY  CLUSTERED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/>
      <c r="B45" s="5" t="s">
        <v>13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ht="15.75" customHeight="1" x14ac:dyDescent="0.2">
      <c r="A46" s="9"/>
      <c r="B46" s="5"/>
      <c r="C46" s="5" t="str">
        <f>IF(D4=TRUE, "["&amp;A4&amp;"]"&amp;IF(D5="", "", ", "), "")</f>
        <v xml:space="preserve">[id], </v>
      </c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/>
      <c r="C47" s="5" t="str">
        <f>IF(D5=TRUE, "["&amp;A5&amp;"]"&amp;IF(D6="", "", ", "), "")</f>
        <v xml:space="preserve">[ma_don_hang], </v>
      </c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/>
      <c r="B48" s="5"/>
      <c r="C48" s="5" t="str">
        <f>IF(D6=TRUE, "["&amp;A6&amp;"]"&amp;IF(D7="", "", ", "), "")</f>
        <v xml:space="preserve">[ma_gian_hang], </v>
      </c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/>
      <c r="C49" s="5" t="str">
        <f>IF(D7=TRUE, "["&amp;A7&amp;"]"&amp;IF(D8="", "", ", "), "")</f>
        <v>[ma_san_pham]</v>
      </c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 t="s">
        <v>14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ht="13.5" thickBot="1" x14ac:dyDescent="0.25">
      <c r="A51" s="11" t="s">
        <v>11</v>
      </c>
      <c r="B51" s="12"/>
      <c r="C51" s="12"/>
      <c r="D51" s="12"/>
      <c r="E51" s="12"/>
      <c r="F51" s="13"/>
      <c r="G51" s="12"/>
      <c r="H51" s="12"/>
      <c r="I51" s="14"/>
      <c r="J51" s="14"/>
      <c r="K51" s="12"/>
      <c r="L51" s="15"/>
    </row>
    <row r="52" spans="1:12" x14ac:dyDescent="0.2">
      <c r="A52" s="2"/>
      <c r="B52" s="2"/>
      <c r="C52" s="2"/>
      <c r="D52" s="2"/>
      <c r="E52" s="2"/>
      <c r="F52" s="3"/>
      <c r="G52" s="2"/>
      <c r="H52" s="2"/>
      <c r="I52" s="4"/>
      <c r="J52" s="4"/>
      <c r="K52" s="2"/>
      <c r="L52" s="2"/>
    </row>
    <row r="53" spans="1:12" x14ac:dyDescent="0.2">
      <c r="C53" t="s">
        <v>44</v>
      </c>
    </row>
    <row r="57" spans="1:12" x14ac:dyDescent="0.2">
      <c r="A57" s="37" t="s">
        <v>45</v>
      </c>
      <c r="B57" s="37" t="str">
        <f>B1</f>
        <v>Merchant_OrderDetail</v>
      </c>
      <c r="C57" s="37"/>
    </row>
    <row r="58" spans="1:12" x14ac:dyDescent="0.2">
      <c r="A58" s="37" t="s">
        <v>46</v>
      </c>
      <c r="B58" s="37"/>
      <c r="C58" s="37"/>
    </row>
    <row r="59" spans="1:12" x14ac:dyDescent="0.2">
      <c r="A59" s="37"/>
      <c r="B59" s="37" t="s">
        <v>47</v>
      </c>
      <c r="C59" s="37"/>
    </row>
    <row r="60" spans="1:12" x14ac:dyDescent="0.2">
      <c r="A60" s="37"/>
      <c r="B60" s="37" t="s">
        <v>48</v>
      </c>
      <c r="C60" s="37"/>
    </row>
    <row r="61" spans="1:12" x14ac:dyDescent="0.2">
      <c r="A61" s="37" t="s">
        <v>49</v>
      </c>
      <c r="B61" s="37" t="str">
        <f>IF(OR($B4="nvarchar",$B4="varchar"),"string",IF($B4="datetime","DateTime",$B4))</f>
        <v>int</v>
      </c>
      <c r="C61" s="37" t="str">
        <f>A4&amp;" "&amp;$C$53</f>
        <v>id  { get; set; }</v>
      </c>
    </row>
    <row r="62" spans="1:12" x14ac:dyDescent="0.2">
      <c r="A62" s="37" t="s">
        <v>49</v>
      </c>
      <c r="B62" s="37" t="str">
        <f t="shared" ref="B62:B74" si="1">IF(OR($B5="nvarchar",$B5="varchar"),"string",IF($B5="datetime","DateTime",$B5))</f>
        <v>string</v>
      </c>
      <c r="C62" s="37" t="str">
        <f t="shared" ref="C62:C74" si="2">A5&amp;" "&amp;$C$53</f>
        <v>ma_don_hang  { get; set; }</v>
      </c>
    </row>
    <row r="63" spans="1:12" x14ac:dyDescent="0.2">
      <c r="A63" s="37" t="s">
        <v>49</v>
      </c>
      <c r="B63" s="37" t="str">
        <f t="shared" si="1"/>
        <v>string</v>
      </c>
      <c r="C63" s="37" t="str">
        <f t="shared" si="2"/>
        <v>ma_gian_hang  { get; set; }</v>
      </c>
    </row>
    <row r="64" spans="1:12" x14ac:dyDescent="0.2">
      <c r="A64" s="37" t="s">
        <v>49</v>
      </c>
      <c r="B64" s="37" t="str">
        <f t="shared" si="1"/>
        <v>string</v>
      </c>
      <c r="C64" s="37" t="str">
        <f t="shared" si="2"/>
        <v>ma_san_pham  { get; set; }</v>
      </c>
    </row>
    <row r="65" spans="1:3" x14ac:dyDescent="0.2">
      <c r="A65" s="37" t="s">
        <v>49</v>
      </c>
      <c r="B65" s="37" t="str">
        <f t="shared" si="1"/>
        <v>string</v>
      </c>
      <c r="C65" s="37" t="str">
        <f t="shared" si="2"/>
        <v>ten_san_pham  { get; set; }</v>
      </c>
    </row>
    <row r="66" spans="1:3" x14ac:dyDescent="0.2">
      <c r="A66" s="37" t="s">
        <v>49</v>
      </c>
      <c r="B66" s="37" t="str">
        <f t="shared" si="1"/>
        <v>float</v>
      </c>
      <c r="C66" s="37" t="str">
        <f t="shared" si="2"/>
        <v>don_gia  { get; set; }</v>
      </c>
    </row>
    <row r="67" spans="1:3" x14ac:dyDescent="0.2">
      <c r="A67" s="37" t="s">
        <v>49</v>
      </c>
      <c r="B67" s="37" t="str">
        <f t="shared" si="1"/>
        <v>string</v>
      </c>
      <c r="C67" s="37" t="str">
        <f t="shared" si="2"/>
        <v>so_luong  { get; set; }</v>
      </c>
    </row>
    <row r="68" spans="1:3" x14ac:dyDescent="0.2">
      <c r="A68" s="37" t="s">
        <v>49</v>
      </c>
      <c r="B68" s="37" t="str">
        <f t="shared" si="1"/>
        <v>float</v>
      </c>
      <c r="C68" s="37" t="str">
        <f t="shared" si="2"/>
        <v>khuyen_mai  { get; set; }</v>
      </c>
    </row>
    <row r="69" spans="1:3" x14ac:dyDescent="0.2">
      <c r="A69" s="37" t="s">
        <v>49</v>
      </c>
      <c r="B69" s="37" t="str">
        <f t="shared" si="1"/>
        <v>string</v>
      </c>
      <c r="C69" s="37" t="str">
        <f t="shared" si="2"/>
        <v>thanh_tien  { get; set; }</v>
      </c>
    </row>
    <row r="70" spans="1:3" x14ac:dyDescent="0.2">
      <c r="A70" s="37" t="s">
        <v>49</v>
      </c>
      <c r="B70" s="37" t="str">
        <f t="shared" si="1"/>
        <v>int</v>
      </c>
      <c r="C70" s="37" t="str">
        <f t="shared" si="2"/>
        <v>sp_khuyen_mai  { get; set; }</v>
      </c>
    </row>
    <row r="71" spans="1:3" x14ac:dyDescent="0.2">
      <c r="A71" s="37" t="s">
        <v>49</v>
      </c>
      <c r="B71" s="37" t="str">
        <f t="shared" si="1"/>
        <v>DateTime</v>
      </c>
      <c r="C71" s="37" t="str">
        <f t="shared" si="2"/>
        <v>ngay_tao  { get; set; }</v>
      </c>
    </row>
    <row r="72" spans="1:3" x14ac:dyDescent="0.2">
      <c r="A72" s="37" t="s">
        <v>49</v>
      </c>
      <c r="B72" s="37" t="str">
        <f t="shared" si="1"/>
        <v>string</v>
      </c>
      <c r="C72" s="37" t="str">
        <f t="shared" si="2"/>
        <v>nguoi_tao  { get; set; }</v>
      </c>
    </row>
    <row r="73" spans="1:3" x14ac:dyDescent="0.2">
      <c r="A73" s="37" t="s">
        <v>49</v>
      </c>
      <c r="B73" s="37" t="str">
        <f t="shared" si="1"/>
        <v>DateTime</v>
      </c>
      <c r="C73" s="37" t="str">
        <f t="shared" si="2"/>
        <v>ngay_cap_nhat  { get; set; }</v>
      </c>
    </row>
    <row r="74" spans="1:3" x14ac:dyDescent="0.2">
      <c r="A74" s="37" t="s">
        <v>49</v>
      </c>
      <c r="B74" s="37" t="str">
        <f t="shared" si="1"/>
        <v>string</v>
      </c>
      <c r="C74" s="37" t="str">
        <f t="shared" si="2"/>
        <v>nguoi_cap_nhat  { get; set; }</v>
      </c>
    </row>
    <row r="75" spans="1:3" x14ac:dyDescent="0.2">
      <c r="A75" s="37" t="s">
        <v>50</v>
      </c>
      <c r="B75" s="37"/>
      <c r="C75" s="37" t="str">
        <f>IF($B19="nvarchar","("&amp;$C$5&amp;")",IF($B19="varchar","("&amp;$C19&amp;")",""))</f>
        <v/>
      </c>
    </row>
    <row r="77" spans="1:3" x14ac:dyDescent="0.2">
      <c r="A77" s="37" t="s">
        <v>72</v>
      </c>
    </row>
    <row r="78" spans="1:3" s="41" customFormat="1" x14ac:dyDescent="0.2">
      <c r="A78" s="40" t="str">
        <f>"DROP TABLE IF EXISTS "&amp;$B$1&amp;"s;"</f>
        <v>DROP TABLE IF EXISTS Merchant_OrderDetails;</v>
      </c>
    </row>
    <row r="79" spans="1:3" s="41" customFormat="1" x14ac:dyDescent="0.2">
      <c r="A79" s="42" t="str">
        <f>"CREATE TABLE "&amp;$B$1&amp;"("</f>
        <v>CREATE TABLE Merchant_OrderDetail(</v>
      </c>
    </row>
    <row r="80" spans="1:3" s="41" customFormat="1" x14ac:dyDescent="0.2">
      <c r="B80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1" spans="1:2" s="41" customFormat="1" x14ac:dyDescent="0.2">
      <c r="B81" s="41" t="str">
        <f t="shared" ref="B81:B93" si="3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ma_don_hang varchar(20) NOT NULL, </v>
      </c>
    </row>
    <row r="82" spans="1:2" s="41" customFormat="1" x14ac:dyDescent="0.2">
      <c r="B82" s="41" t="str">
        <f t="shared" si="3"/>
        <v xml:space="preserve">ma_gian_hang nvarchar(20) NOT NULL, </v>
      </c>
    </row>
    <row r="83" spans="1:2" s="41" customFormat="1" x14ac:dyDescent="0.2">
      <c r="B83" s="41" t="str">
        <f t="shared" si="3"/>
        <v xml:space="preserve">ma_san_pham nvarchar(20) NOT NULL, </v>
      </c>
    </row>
    <row r="84" spans="1:2" s="41" customFormat="1" x14ac:dyDescent="0.2">
      <c r="B84" s="41" t="str">
        <f t="shared" si="3"/>
        <v xml:space="preserve">ten_san_pham nvarchar(512) NOT NULL, </v>
      </c>
    </row>
    <row r="85" spans="1:2" s="41" customFormat="1" x14ac:dyDescent="0.2">
      <c r="B85" s="41" t="str">
        <f t="shared" si="3"/>
        <v xml:space="preserve">don_gia float NOT NULL, </v>
      </c>
    </row>
    <row r="86" spans="1:2" s="41" customFormat="1" x14ac:dyDescent="0.2">
      <c r="B86" s="41" t="str">
        <f t="shared" si="3"/>
        <v xml:space="preserve">so_luong varchar(11) NOT NULL, </v>
      </c>
    </row>
    <row r="87" spans="1:2" s="41" customFormat="1" x14ac:dyDescent="0.2">
      <c r="B87" s="41" t="str">
        <f t="shared" si="3"/>
        <v xml:space="preserve">khuyen_mai float NULL, </v>
      </c>
    </row>
    <row r="88" spans="1:2" s="41" customFormat="1" x14ac:dyDescent="0.2">
      <c r="B88" s="41" t="str">
        <f t="shared" si="3"/>
        <v xml:space="preserve">thanh_tien varchar(11) NULL, </v>
      </c>
    </row>
    <row r="89" spans="1:2" s="41" customFormat="1" x14ac:dyDescent="0.2">
      <c r="B89" s="41" t="str">
        <f t="shared" si="3"/>
        <v xml:space="preserve">sp_khuyen_mai int NULL, </v>
      </c>
    </row>
    <row r="90" spans="1:2" s="41" customFormat="1" x14ac:dyDescent="0.2">
      <c r="B90" s="41" t="str">
        <f t="shared" si="3"/>
        <v xml:space="preserve">ngay_tao datetime NOT NULL, </v>
      </c>
    </row>
    <row r="91" spans="1:2" s="41" customFormat="1" x14ac:dyDescent="0.2">
      <c r="B91" s="41" t="str">
        <f t="shared" si="3"/>
        <v xml:space="preserve">nguoi_tao nvarchar(32) NOT NULL, </v>
      </c>
    </row>
    <row r="92" spans="1:2" s="41" customFormat="1" x14ac:dyDescent="0.2">
      <c r="B92" s="41" t="str">
        <f t="shared" si="3"/>
        <v xml:space="preserve">ngay_cap_nhat datetime NULL, </v>
      </c>
    </row>
    <row r="93" spans="1:2" s="41" customFormat="1" x14ac:dyDescent="0.2">
      <c r="B93" s="41" t="str">
        <f t="shared" si="3"/>
        <v xml:space="preserve">nguoi_cap_nhat nvarchar(32) NULL, </v>
      </c>
    </row>
    <row r="94" spans="1:2" s="41" customFormat="1" x14ac:dyDescent="0.2">
      <c r="A94" s="41" t="s">
        <v>74</v>
      </c>
    </row>
    <row r="95" spans="1:2" s="41" customFormat="1" x14ac:dyDescent="0.2">
      <c r="B95" s="5" t="str">
        <f>IF(D4=TRUE, A4&amp;IF(D5="", "", ", "), "")</f>
        <v xml:space="preserve">id, </v>
      </c>
    </row>
    <row r="96" spans="1:2" s="41" customFormat="1" x14ac:dyDescent="0.2">
      <c r="B96" s="5" t="str">
        <f>IF(D5=TRUE, A5&amp;IF(D6="", "", ", "), "")</f>
        <v xml:space="preserve">ma_don_hang, </v>
      </c>
    </row>
    <row r="97" spans="1:2" s="41" customFormat="1" x14ac:dyDescent="0.2">
      <c r="B97" s="5" t="str">
        <f>IF(D6=TRUE, A6&amp;IF(D7="", "", ", "), "")</f>
        <v xml:space="preserve">ma_gian_hang, </v>
      </c>
    </row>
    <row r="98" spans="1:2" s="41" customFormat="1" x14ac:dyDescent="0.2">
      <c r="B98" s="5" t="str">
        <f>IF(D7=TRUE, A7&amp;IF(D8="", "", ", "), "")</f>
        <v>ma_san_pham</v>
      </c>
    </row>
    <row r="99" spans="1:2" s="41" customFormat="1" x14ac:dyDescent="0.2">
      <c r="B99" s="41" t="s">
        <v>75</v>
      </c>
    </row>
    <row r="100" spans="1:2" s="41" customFormat="1" x14ac:dyDescent="0.2">
      <c r="A100" s="41" t="s">
        <v>73</v>
      </c>
    </row>
    <row r="101" spans="1:2" s="41" customFormat="1" x14ac:dyDescent="0.2"/>
    <row r="102" spans="1:2" s="41" customFormat="1" x14ac:dyDescent="0.2"/>
    <row r="103" spans="1:2" s="41" customFormat="1" x14ac:dyDescent="0.2"/>
    <row r="104" spans="1:2" s="41" customFormat="1" x14ac:dyDescent="0.2"/>
  </sheetData>
  <mergeCells count="1">
    <mergeCell ref="A19:B19"/>
  </mergeCells>
  <hyperlinks>
    <hyperlink ref="D1" location="'Sheet List'!A1" display="back to list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9"/>
  <sheetViews>
    <sheetView zoomScale="115" zoomScaleNormal="115" workbookViewId="0">
      <selection activeCell="A11" sqref="A11"/>
    </sheetView>
  </sheetViews>
  <sheetFormatPr defaultRowHeight="12.75" x14ac:dyDescent="0.2"/>
  <cols>
    <col min="1" max="1" width="23.85546875" customWidth="1"/>
    <col min="2" max="2" width="17.28515625" customWidth="1"/>
    <col min="3" max="3" width="33.140625" customWidth="1"/>
  </cols>
  <sheetData>
    <row r="1" spans="1:12" x14ac:dyDescent="0.2">
      <c r="A1" s="1" t="s">
        <v>8</v>
      </c>
      <c r="B1" s="1" t="s">
        <v>226</v>
      </c>
      <c r="D1" s="26" t="s">
        <v>18</v>
      </c>
    </row>
    <row r="3" spans="1:12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">
      <c r="A5" s="22" t="s">
        <v>223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2" x14ac:dyDescent="0.2">
      <c r="A6" s="22" t="s">
        <v>224</v>
      </c>
      <c r="B6" s="23" t="s">
        <v>20</v>
      </c>
      <c r="C6" s="27">
        <v>500</v>
      </c>
      <c r="D6" s="23"/>
      <c r="E6" s="23"/>
      <c r="F6" s="23" t="b">
        <v>0</v>
      </c>
      <c r="G6" s="23"/>
      <c r="H6" s="23"/>
      <c r="I6" s="24"/>
      <c r="J6" s="25"/>
    </row>
    <row r="7" spans="1:12" x14ac:dyDescent="0.2">
      <c r="A7" s="22" t="s">
        <v>225</v>
      </c>
      <c r="B7" s="23" t="s">
        <v>20</v>
      </c>
      <c r="C7" s="27">
        <v>500</v>
      </c>
      <c r="D7" s="23"/>
      <c r="E7" s="23"/>
      <c r="F7" s="23" t="b">
        <v>0</v>
      </c>
      <c r="G7" s="23"/>
      <c r="H7" s="23"/>
      <c r="I7" s="24"/>
      <c r="J7" s="25"/>
    </row>
    <row r="8" spans="1:12" x14ac:dyDescent="0.2">
      <c r="A8" s="22" t="s">
        <v>142</v>
      </c>
      <c r="B8" s="23" t="s">
        <v>20</v>
      </c>
      <c r="C8" s="27" t="s">
        <v>118</v>
      </c>
      <c r="D8" s="23"/>
      <c r="E8" s="23"/>
      <c r="F8" s="23" t="b">
        <v>1</v>
      </c>
      <c r="G8" s="23"/>
      <c r="H8" s="23"/>
      <c r="I8" s="24"/>
      <c r="J8" s="25"/>
    </row>
    <row r="9" spans="1:12" x14ac:dyDescent="0.2">
      <c r="A9" s="22" t="s">
        <v>125</v>
      </c>
      <c r="B9" s="23" t="s">
        <v>7</v>
      </c>
      <c r="C9" s="27">
        <v>50</v>
      </c>
      <c r="D9" s="23"/>
      <c r="E9" s="23"/>
      <c r="F9" s="23" t="b">
        <v>1</v>
      </c>
      <c r="G9" s="23"/>
      <c r="H9" s="23"/>
      <c r="I9" s="24"/>
      <c r="J9" s="25"/>
    </row>
    <row r="10" spans="1:12" x14ac:dyDescent="0.2">
      <c r="A10" s="59" t="s">
        <v>51</v>
      </c>
      <c r="B10" s="47" t="s">
        <v>7</v>
      </c>
      <c r="C10" s="58">
        <v>50</v>
      </c>
      <c r="D10" s="25"/>
      <c r="E10" s="25"/>
      <c r="F10" s="47" t="b">
        <v>0</v>
      </c>
      <c r="G10" s="25"/>
      <c r="H10" s="25"/>
      <c r="I10" s="25"/>
      <c r="J10" s="25"/>
    </row>
    <row r="11" spans="1:12" x14ac:dyDescent="0.2">
      <c r="A11" s="36" t="s">
        <v>21</v>
      </c>
      <c r="B11" s="47" t="s">
        <v>9</v>
      </c>
      <c r="C11" s="58"/>
      <c r="D11" s="25"/>
      <c r="E11" s="25"/>
      <c r="F11" s="47" t="b">
        <v>0</v>
      </c>
      <c r="G11" s="25"/>
      <c r="H11" s="25"/>
      <c r="I11" s="25"/>
      <c r="J11" s="25"/>
    </row>
    <row r="12" spans="1:12" x14ac:dyDescent="0.2">
      <c r="A12" s="36" t="s">
        <v>22</v>
      </c>
      <c r="B12" s="47" t="s">
        <v>20</v>
      </c>
      <c r="C12">
        <v>32</v>
      </c>
      <c r="F12" s="47" t="b">
        <v>0</v>
      </c>
    </row>
    <row r="13" spans="1:12" x14ac:dyDescent="0.2">
      <c r="A13" s="36" t="s">
        <v>23</v>
      </c>
      <c r="B13" s="47" t="s">
        <v>9</v>
      </c>
      <c r="C13" s="58"/>
      <c r="D13" s="25"/>
      <c r="E13" s="25"/>
      <c r="F13" s="47" t="b">
        <v>1</v>
      </c>
      <c r="G13" s="25"/>
      <c r="H13" s="25"/>
      <c r="I13" s="25"/>
      <c r="J13" s="25"/>
    </row>
    <row r="14" spans="1:12" ht="13.5" thickBot="1" x14ac:dyDescent="0.25">
      <c r="A14" s="36" t="s">
        <v>24</v>
      </c>
      <c r="B14" s="47" t="s">
        <v>20</v>
      </c>
      <c r="C14" s="54">
        <v>32</v>
      </c>
      <c r="F14" s="47" t="b">
        <v>1</v>
      </c>
    </row>
    <row r="15" spans="1:12" ht="13.5" thickBot="1" x14ac:dyDescent="0.25">
      <c r="A15" s="60" t="s">
        <v>10</v>
      </c>
      <c r="B15" s="61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">
      <c r="A17" s="5" t="str">
        <f>"if exists (select * from dbo.sysobjects where id = object_id(N'[dbo].["&amp;$B$1&amp;"]') and OBJECTPROPERTY(id, N'IsUserTable') = 1)"</f>
        <v>if exists (select * from dbo.sysobjects where id = object_id(N'[dbo].[FooterManagement]')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">
      <c r="A18" s="9" t="str">
        <f>"drop table [dbo].["&amp;$B$1&amp;"]"</f>
        <v>drop table [dbo].[FooterManagement]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10" t="str">
        <f>"CREATE TABLE [dbo].["&amp;$B$1&amp;"] ("</f>
        <v>CREATE TABLE [dbo].[FooterManagement]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10"/>
      <c r="B23" s="5" t="str">
        <f t="shared" ref="B23:B32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[ma_footer]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10"/>
      <c r="B24" s="5" t="str">
        <f t="shared" si="0"/>
        <v xml:space="preserve">[url_link] [nvarchar] (500)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/>
      <c r="B25" s="5" t="str">
        <f t="shared" si="0"/>
        <v xml:space="preserve">[image_link] [nvarchar] (500)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 t="shared" si="0"/>
        <v xml:space="preserve">[noi_dung] [nvarchar] (MAX)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si="0"/>
        <v xml:space="preserve">[loai] [varchar] (50)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[trang_thai] [varchar]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[ngay_tao] [datetime]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[nguoi_tao] [nvarchar] (32)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[ngay_cap_nhat] [datetime]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[nguoi_cap_nhat] [nvarchar] (32)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9" t="s">
        <v>12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9" t="s">
        <v>11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9"/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9" t="str">
        <f>"ALTER TABLE [dbo].["&amp;$B$1&amp;"] ADD"</f>
        <v>ALTER TABLE [dbo].[FooterManagement] ADD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9"/>
      <c r="B37" s="5" t="str">
        <f>"CONSTRAINT [PK_"&amp;$B$1&amp;"] PRIMARY KEY  CLUSTERED"</f>
        <v>CONSTRAINT [PK_FooterManagement] PRIMARY KEY  CLUSTERED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/>
      <c r="B38" s="5" t="s">
        <v>13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/>
      <c r="B39" s="5"/>
      <c r="C39" s="5" t="str">
        <f>IF(D4=TRUE, "["&amp;A4&amp;"]"&amp;IF(D5="", "", ", "), "")</f>
        <v xml:space="preserve">[id], </v>
      </c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 t="str">
        <f t="shared" ref="C40:C41" si="1">IF(D5=TRUE, "["&amp;A5&amp;"]"&amp;IF(D6="", "", ", "), "")</f>
        <v>[ma_footer]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/>
      <c r="B41" s="5"/>
      <c r="C41" s="5" t="str">
        <f t="shared" si="1"/>
        <v/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 t="s">
        <v>14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ht="13.5" thickBot="1" x14ac:dyDescent="0.25">
      <c r="A43" s="11" t="s">
        <v>11</v>
      </c>
      <c r="B43" s="12"/>
      <c r="C43" s="12"/>
      <c r="D43" s="12"/>
      <c r="E43" s="12"/>
      <c r="F43" s="13"/>
      <c r="G43" s="12"/>
      <c r="H43" s="12"/>
      <c r="I43" s="14"/>
      <c r="J43" s="14"/>
      <c r="K43" s="12"/>
      <c r="L43" s="15"/>
    </row>
    <row r="44" spans="1:12" x14ac:dyDescent="0.2">
      <c r="A44" s="2"/>
      <c r="B44" s="2"/>
      <c r="C44" s="2"/>
      <c r="D44" s="2"/>
      <c r="E44" s="2"/>
      <c r="F44" s="3"/>
      <c r="G44" s="2"/>
      <c r="H44" s="2"/>
      <c r="I44" s="4"/>
      <c r="J44" s="4"/>
      <c r="K44" s="2"/>
      <c r="L44" s="2"/>
    </row>
    <row r="45" spans="1:12" x14ac:dyDescent="0.2">
      <c r="C45" t="s">
        <v>44</v>
      </c>
    </row>
    <row r="49" spans="1:3" x14ac:dyDescent="0.2">
      <c r="A49" s="37" t="s">
        <v>45</v>
      </c>
      <c r="B49" s="37" t="str">
        <f>B1</f>
        <v>FooterManagement</v>
      </c>
      <c r="C49" s="37"/>
    </row>
    <row r="50" spans="1:3" x14ac:dyDescent="0.2">
      <c r="A50" s="37" t="s">
        <v>46</v>
      </c>
      <c r="B50" s="37"/>
      <c r="C50" s="37"/>
    </row>
    <row r="51" spans="1:3" x14ac:dyDescent="0.2">
      <c r="A51" s="37"/>
      <c r="B51" s="37" t="s">
        <v>47</v>
      </c>
      <c r="C51" s="37"/>
    </row>
    <row r="52" spans="1:3" x14ac:dyDescent="0.2">
      <c r="A52" s="37"/>
      <c r="B52" s="37" t="s">
        <v>48</v>
      </c>
      <c r="C52" s="37"/>
    </row>
    <row r="53" spans="1:3" x14ac:dyDescent="0.2">
      <c r="A53" s="37" t="s">
        <v>49</v>
      </c>
      <c r="B53" s="37" t="str">
        <f>IF(OR($B4="nvarchar",$B4="varchar"),"string",IF($B4="datetime","DateTime",$B4))</f>
        <v>int</v>
      </c>
      <c r="C53" s="37" t="str">
        <f>A4&amp;" "&amp;$C$45</f>
        <v>id  { get; set; }</v>
      </c>
    </row>
    <row r="54" spans="1:3" x14ac:dyDescent="0.2">
      <c r="A54" s="37" t="s">
        <v>49</v>
      </c>
      <c r="B54" s="37" t="str">
        <f t="shared" ref="B54:B63" si="2">IF(OR($B5="nvarchar",$B5="varchar"),"string",IF($B5="datetime","DateTime",$B5))</f>
        <v>string</v>
      </c>
      <c r="C54" s="37" t="str">
        <f t="shared" ref="C54:C63" si="3">A5&amp;" "&amp;$C$45</f>
        <v>ma_footer  { get; set; }</v>
      </c>
    </row>
    <row r="55" spans="1:3" x14ac:dyDescent="0.2">
      <c r="A55" s="37" t="s">
        <v>49</v>
      </c>
      <c r="B55" s="37" t="str">
        <f t="shared" si="2"/>
        <v>string</v>
      </c>
      <c r="C55" s="37" t="str">
        <f t="shared" si="3"/>
        <v>url_link  { get; set; }</v>
      </c>
    </row>
    <row r="56" spans="1:3" x14ac:dyDescent="0.2">
      <c r="A56" s="37" t="s">
        <v>49</v>
      </c>
      <c r="B56" s="37" t="str">
        <f t="shared" si="2"/>
        <v>string</v>
      </c>
      <c r="C56" s="37" t="str">
        <f t="shared" si="3"/>
        <v>image_link  { get; set; }</v>
      </c>
    </row>
    <row r="57" spans="1:3" x14ac:dyDescent="0.2">
      <c r="A57" s="37" t="s">
        <v>49</v>
      </c>
      <c r="B57" s="37" t="str">
        <f t="shared" si="2"/>
        <v>string</v>
      </c>
      <c r="C57" s="37" t="str">
        <f t="shared" si="3"/>
        <v>noi_dung  { get; set; }</v>
      </c>
    </row>
    <row r="58" spans="1:3" x14ac:dyDescent="0.2">
      <c r="A58" s="37" t="s">
        <v>49</v>
      </c>
      <c r="B58" s="37" t="str">
        <f t="shared" si="2"/>
        <v>string</v>
      </c>
      <c r="C58" s="37" t="str">
        <f t="shared" si="3"/>
        <v>loai  { get; set; }</v>
      </c>
    </row>
    <row r="59" spans="1:3" x14ac:dyDescent="0.2">
      <c r="A59" s="37" t="s">
        <v>49</v>
      </c>
      <c r="B59" s="37" t="str">
        <f t="shared" si="2"/>
        <v>string</v>
      </c>
      <c r="C59" s="37" t="str">
        <f t="shared" si="3"/>
        <v>trang_thai  { get; set; }</v>
      </c>
    </row>
    <row r="60" spans="1:3" x14ac:dyDescent="0.2">
      <c r="A60" s="37" t="s">
        <v>49</v>
      </c>
      <c r="B60" s="37" t="str">
        <f t="shared" si="2"/>
        <v>DateTime</v>
      </c>
      <c r="C60" s="37" t="str">
        <f t="shared" si="3"/>
        <v>ngay_tao  { get; set; }</v>
      </c>
    </row>
    <row r="61" spans="1:3" x14ac:dyDescent="0.2">
      <c r="A61" s="37" t="s">
        <v>49</v>
      </c>
      <c r="B61" s="37" t="str">
        <f t="shared" si="2"/>
        <v>string</v>
      </c>
      <c r="C61" s="37" t="str">
        <f t="shared" si="3"/>
        <v>nguoi_tao  { get; set; }</v>
      </c>
    </row>
    <row r="62" spans="1:3" x14ac:dyDescent="0.2">
      <c r="A62" s="37" t="s">
        <v>49</v>
      </c>
      <c r="B62" s="37" t="str">
        <f t="shared" si="2"/>
        <v>DateTime</v>
      </c>
      <c r="C62" s="37" t="str">
        <f t="shared" si="3"/>
        <v>ngay_cap_nhat  { get; set; }</v>
      </c>
    </row>
    <row r="63" spans="1:3" x14ac:dyDescent="0.2">
      <c r="A63" s="37" t="s">
        <v>49</v>
      </c>
      <c r="B63" s="37" t="str">
        <f t="shared" si="2"/>
        <v>string</v>
      </c>
      <c r="C63" s="37" t="str">
        <f t="shared" si="3"/>
        <v>nguoi_cap_nhat  { get; set; }</v>
      </c>
    </row>
    <row r="64" spans="1:3" x14ac:dyDescent="0.2">
      <c r="A64" s="37" t="s">
        <v>50</v>
      </c>
      <c r="B64" s="37"/>
      <c r="C64" s="37" t="str">
        <f>IF($B15="nvarchar","("&amp;$C$5&amp;")",IF($B15="varchar","("&amp;$C15&amp;")",""))</f>
        <v/>
      </c>
    </row>
    <row r="66" spans="1:16" x14ac:dyDescent="0.2">
      <c r="A66" s="37" t="s">
        <v>72</v>
      </c>
    </row>
    <row r="67" spans="1:16" x14ac:dyDescent="0.2">
      <c r="A67" s="40" t="str">
        <f>"DROP TABLE IF EXISTS "&amp;$B$1&amp;"s;"</f>
        <v>DROP TABLE IF EXISTS FooterManagements;</v>
      </c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</row>
    <row r="68" spans="1:16" x14ac:dyDescent="0.2">
      <c r="A68" s="42" t="str">
        <f>"CREATE TABLE "&amp;$B$1&amp;"("</f>
        <v>CREATE TABLE FooterManagement(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</row>
    <row r="69" spans="1:16" x14ac:dyDescent="0.2">
      <c r="A69" s="41"/>
      <c r="B69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</row>
    <row r="70" spans="1:16" x14ac:dyDescent="0.2">
      <c r="A70" s="41"/>
      <c r="B70" s="41" t="str">
        <f t="shared" ref="B70:B79" si="4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ma_footer varchar(20) NOT NULL, 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</row>
    <row r="71" spans="1:16" x14ac:dyDescent="0.2">
      <c r="A71" s="41"/>
      <c r="B71" s="41" t="str">
        <f t="shared" si="4"/>
        <v xml:space="preserve">url_link nvarchar(500) NOT NULL, 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</row>
    <row r="72" spans="1:16" x14ac:dyDescent="0.2">
      <c r="A72" s="41"/>
      <c r="B72" s="41" t="str">
        <f t="shared" si="4"/>
        <v xml:space="preserve">image_link nvarchar(500) NOT NULL, 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</row>
    <row r="73" spans="1:16" x14ac:dyDescent="0.2">
      <c r="A73" s="41"/>
      <c r="B73" s="41" t="str">
        <f t="shared" si="4"/>
        <v xml:space="preserve">noi_dung nvarchar(MAX) NULL, 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</row>
    <row r="74" spans="1:16" x14ac:dyDescent="0.2">
      <c r="A74" s="41"/>
      <c r="B74" s="41" t="str">
        <f t="shared" si="4"/>
        <v xml:space="preserve">loai varchar(50) NULL, 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</row>
    <row r="75" spans="1:16" x14ac:dyDescent="0.2">
      <c r="A75" s="41"/>
      <c r="B75" s="41" t="str">
        <f t="shared" si="4"/>
        <v xml:space="preserve">trang_thai varchar(50) NOT NULL, 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</row>
    <row r="76" spans="1:16" x14ac:dyDescent="0.2">
      <c r="A76" s="41"/>
      <c r="B76" s="41" t="str">
        <f t="shared" si="4"/>
        <v xml:space="preserve">ngay_tao datetime NOT NULL, 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</row>
    <row r="77" spans="1:16" x14ac:dyDescent="0.2">
      <c r="A77" s="41"/>
      <c r="B77" s="41" t="str">
        <f t="shared" si="4"/>
        <v xml:space="preserve">nguoi_tao nvarchar(32) NOT NULL, 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</row>
    <row r="78" spans="1:16" x14ac:dyDescent="0.2">
      <c r="A78" s="41"/>
      <c r="B78" s="41" t="str">
        <f t="shared" si="4"/>
        <v xml:space="preserve">ngay_cap_nhat datetime NULL, 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</row>
    <row r="79" spans="1:16" x14ac:dyDescent="0.2">
      <c r="A79" s="41"/>
      <c r="B79" s="41" t="str">
        <f t="shared" si="4"/>
        <v xml:space="preserve">nguoi_cap_nhat nvarchar(32) NULL, 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</row>
    <row r="80" spans="1:16" x14ac:dyDescent="0.2">
      <c r="A80" s="41" t="s">
        <v>74</v>
      </c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</row>
    <row r="81" spans="1:16" x14ac:dyDescent="0.2">
      <c r="A81" s="41"/>
      <c r="B81" s="5" t="str">
        <f>IF(D4=TRUE, A4&amp;IF(D5="", "", ", "), "")</f>
        <v xml:space="preserve">id, 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</row>
    <row r="82" spans="1:16" x14ac:dyDescent="0.2">
      <c r="A82" s="41"/>
      <c r="B82" s="5" t="str">
        <f t="shared" ref="B82:B83" si="5">IF(D5=TRUE, A5&amp;IF(D6="", "", ", "), "")</f>
        <v>ma_footer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</row>
    <row r="83" spans="1:16" x14ac:dyDescent="0.2">
      <c r="A83" s="41"/>
      <c r="B83" s="5" t="str">
        <f t="shared" si="5"/>
        <v/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</row>
    <row r="84" spans="1:16" x14ac:dyDescent="0.2">
      <c r="A84" s="41"/>
      <c r="B84" s="41" t="s">
        <v>75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</row>
    <row r="85" spans="1:16" x14ac:dyDescent="0.2">
      <c r="A85" s="41" t="s">
        <v>73</v>
      </c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</row>
    <row r="86" spans="1:16" x14ac:dyDescent="0.2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</row>
    <row r="87" spans="1:16" x14ac:dyDescent="0.2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</row>
    <row r="88" spans="1:16" x14ac:dyDescent="0.2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</row>
    <row r="89" spans="1:16" x14ac:dyDescent="0.2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9"/>
  <sheetViews>
    <sheetView topLeftCell="A67" zoomScale="115" zoomScaleNormal="115" workbookViewId="0">
      <selection activeCell="B69" sqref="B69:C79"/>
    </sheetView>
  </sheetViews>
  <sheetFormatPr defaultRowHeight="12.75" x14ac:dyDescent="0.2"/>
  <cols>
    <col min="1" max="1" width="23.85546875" customWidth="1"/>
    <col min="2" max="2" width="17.28515625" customWidth="1"/>
    <col min="3" max="3" width="33.140625" customWidth="1"/>
  </cols>
  <sheetData>
    <row r="1" spans="1:12" x14ac:dyDescent="0.2">
      <c r="A1" s="1" t="s">
        <v>8</v>
      </c>
      <c r="B1" s="1" t="s">
        <v>218</v>
      </c>
      <c r="D1" s="26" t="s">
        <v>18</v>
      </c>
    </row>
    <row r="3" spans="1:12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2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2" x14ac:dyDescent="0.2">
      <c r="A5" s="22" t="s">
        <v>193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2" x14ac:dyDescent="0.2">
      <c r="A6" s="22" t="s">
        <v>26</v>
      </c>
      <c r="B6" s="23" t="s">
        <v>20</v>
      </c>
      <c r="C6" s="27">
        <v>20</v>
      </c>
      <c r="D6" s="23" t="b">
        <v>1</v>
      </c>
      <c r="E6" s="23"/>
      <c r="F6" s="23" t="b">
        <v>0</v>
      </c>
      <c r="G6" s="23"/>
      <c r="H6" s="23"/>
      <c r="I6" s="24"/>
      <c r="J6" s="25"/>
    </row>
    <row r="7" spans="1:12" x14ac:dyDescent="0.2">
      <c r="A7" s="22" t="s">
        <v>186</v>
      </c>
      <c r="B7" s="23" t="s">
        <v>19</v>
      </c>
      <c r="C7" s="27"/>
      <c r="D7" s="23"/>
      <c r="E7" s="23"/>
      <c r="F7" s="23" t="b">
        <v>0</v>
      </c>
      <c r="G7" s="23"/>
      <c r="H7" s="23"/>
      <c r="I7" s="24"/>
      <c r="J7" s="25"/>
    </row>
    <row r="8" spans="1:12" x14ac:dyDescent="0.2">
      <c r="A8" s="22" t="s">
        <v>205</v>
      </c>
      <c r="B8" s="23" t="s">
        <v>56</v>
      </c>
      <c r="C8" s="27"/>
      <c r="D8" s="23"/>
      <c r="E8" s="23"/>
      <c r="F8" s="23" t="b">
        <v>1</v>
      </c>
      <c r="G8" s="23"/>
      <c r="H8" s="23"/>
      <c r="I8" s="24"/>
      <c r="J8" s="25"/>
    </row>
    <row r="9" spans="1:12" x14ac:dyDescent="0.2">
      <c r="A9" s="22" t="s">
        <v>164</v>
      </c>
      <c r="B9" s="23" t="s">
        <v>56</v>
      </c>
      <c r="C9" s="27"/>
      <c r="D9" s="23"/>
      <c r="E9" s="23"/>
      <c r="F9" s="23" t="b">
        <v>1</v>
      </c>
      <c r="G9" s="23"/>
      <c r="H9" s="23"/>
      <c r="I9" s="24"/>
      <c r="J9" s="25"/>
    </row>
    <row r="10" spans="1:12" x14ac:dyDescent="0.2">
      <c r="A10" s="59" t="s">
        <v>51</v>
      </c>
      <c r="B10" s="47" t="s">
        <v>7</v>
      </c>
      <c r="C10" s="58">
        <v>50</v>
      </c>
      <c r="D10" s="25"/>
      <c r="E10" s="25"/>
      <c r="F10" s="47" t="b">
        <v>0</v>
      </c>
      <c r="G10" s="25"/>
      <c r="H10" s="25"/>
      <c r="I10" s="25"/>
      <c r="J10" s="25"/>
    </row>
    <row r="11" spans="1:12" x14ac:dyDescent="0.2">
      <c r="A11" s="36" t="s">
        <v>21</v>
      </c>
      <c r="B11" s="47" t="s">
        <v>9</v>
      </c>
      <c r="C11" s="58"/>
      <c r="D11" s="25"/>
      <c r="E11" s="25"/>
      <c r="F11" s="47" t="b">
        <v>0</v>
      </c>
      <c r="G11" s="25"/>
      <c r="H11" s="25"/>
      <c r="I11" s="25"/>
      <c r="J11" s="25"/>
    </row>
    <row r="12" spans="1:12" x14ac:dyDescent="0.2">
      <c r="A12" s="36" t="s">
        <v>22</v>
      </c>
      <c r="B12" s="47" t="s">
        <v>20</v>
      </c>
      <c r="C12">
        <v>32</v>
      </c>
      <c r="F12" s="47" t="b">
        <v>0</v>
      </c>
    </row>
    <row r="13" spans="1:12" x14ac:dyDescent="0.2">
      <c r="A13" s="36" t="s">
        <v>23</v>
      </c>
      <c r="B13" s="47" t="s">
        <v>9</v>
      </c>
      <c r="C13" s="58"/>
      <c r="D13" s="25"/>
      <c r="E13" s="25"/>
      <c r="F13" s="47" t="b">
        <v>1</v>
      </c>
      <c r="G13" s="25"/>
      <c r="H13" s="25"/>
      <c r="I13" s="25"/>
      <c r="J13" s="25"/>
    </row>
    <row r="14" spans="1:12" ht="13.5" thickBot="1" x14ac:dyDescent="0.25">
      <c r="A14" s="36" t="s">
        <v>24</v>
      </c>
      <c r="B14" s="47" t="s">
        <v>20</v>
      </c>
      <c r="C14" s="54">
        <v>32</v>
      </c>
      <c r="F14" s="47" t="b">
        <v>1</v>
      </c>
    </row>
    <row r="15" spans="1:12" ht="13.5" thickBot="1" x14ac:dyDescent="0.25">
      <c r="A15" s="60" t="s">
        <v>10</v>
      </c>
      <c r="B15" s="61"/>
      <c r="C15" s="16"/>
      <c r="D15" s="17"/>
      <c r="E15" s="17"/>
      <c r="F15" s="18"/>
      <c r="G15" s="18"/>
      <c r="H15" s="18"/>
      <c r="I15" s="18"/>
      <c r="J15" s="18"/>
      <c r="K15" s="18"/>
      <c r="L15" s="18"/>
    </row>
    <row r="16" spans="1:12" x14ac:dyDescent="0.2">
      <c r="A16" s="5"/>
      <c r="B16" s="5"/>
      <c r="C16" s="5"/>
      <c r="D16" s="5"/>
      <c r="E16" s="5"/>
      <c r="F16" s="6"/>
      <c r="G16" s="5"/>
      <c r="H16" s="5"/>
      <c r="I16" s="7"/>
      <c r="J16" s="7"/>
      <c r="K16" s="5"/>
      <c r="L16" s="8"/>
    </row>
    <row r="17" spans="1:12" x14ac:dyDescent="0.2">
      <c r="A17" s="5" t="str">
        <f>"if exists (select * from dbo.sysobjects where id = object_id(N'[dbo].["&amp;$B$1&amp;"]') and OBJECTPROPERTY(id, N'IsUserTable') = 1)"</f>
        <v>if exists (select * from dbo.sysobjects where id = object_id(N'[dbo].[Order_Merchants]') and OBJECTPROPERTY(id, N'IsUserTable') = 1)</v>
      </c>
      <c r="B17" s="5"/>
      <c r="C17" s="5"/>
      <c r="D17" s="5"/>
      <c r="E17" s="5"/>
      <c r="F17" s="6"/>
      <c r="G17" s="5"/>
      <c r="H17" s="5"/>
      <c r="I17" s="7"/>
      <c r="J17" s="7"/>
      <c r="K17" s="5"/>
      <c r="L17" s="8"/>
    </row>
    <row r="18" spans="1:12" x14ac:dyDescent="0.2">
      <c r="A18" s="9" t="str">
        <f>"drop table [dbo].["&amp;$B$1&amp;"]"</f>
        <v>drop table [dbo].[Order_Merchants]</v>
      </c>
      <c r="B18" s="5"/>
      <c r="C18" s="5"/>
      <c r="D18" s="5"/>
      <c r="E18" s="5"/>
      <c r="F18" s="6"/>
      <c r="G18" s="5"/>
      <c r="H18" s="5"/>
      <c r="I18" s="7"/>
      <c r="J18" s="7"/>
      <c r="K18" s="5"/>
      <c r="L18" s="8"/>
    </row>
    <row r="19" spans="1:12" x14ac:dyDescent="0.2">
      <c r="A19" s="9" t="s">
        <v>11</v>
      </c>
      <c r="B19" s="5"/>
      <c r="C19" s="5"/>
      <c r="D19" s="5"/>
      <c r="E19" s="5"/>
      <c r="F19" s="6"/>
      <c r="G19" s="5"/>
      <c r="H19" s="5"/>
      <c r="I19" s="7"/>
      <c r="J19" s="7"/>
      <c r="K19" s="5"/>
      <c r="L19" s="8"/>
    </row>
    <row r="20" spans="1:12" x14ac:dyDescent="0.2">
      <c r="A20" s="9"/>
      <c r="B20" s="5"/>
      <c r="C20" s="5"/>
      <c r="D20" s="5"/>
      <c r="E20" s="5"/>
      <c r="F20" s="6"/>
      <c r="G20" s="5"/>
      <c r="H20" s="5"/>
      <c r="I20" s="7"/>
      <c r="J20" s="7"/>
      <c r="K20" s="5"/>
      <c r="L20" s="8"/>
    </row>
    <row r="21" spans="1:12" x14ac:dyDescent="0.2">
      <c r="A21" s="10" t="str">
        <f>"CREATE TABLE [dbo].["&amp;$B$1&amp;"] ("</f>
        <v>CREATE TABLE [dbo].[Order_Merchants] (</v>
      </c>
      <c r="B21" s="5"/>
      <c r="C21" s="5"/>
      <c r="D21" s="5"/>
      <c r="E21" s="5"/>
      <c r="F21" s="6"/>
      <c r="G21" s="5"/>
      <c r="H21" s="5"/>
      <c r="I21" s="7"/>
      <c r="J21" s="7"/>
      <c r="K21" s="5"/>
      <c r="L21" s="8"/>
    </row>
    <row r="22" spans="1:12" x14ac:dyDescent="0.2">
      <c r="A22" s="10"/>
      <c r="B2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2" s="5"/>
      <c r="D22" s="5"/>
      <c r="E22" s="5"/>
      <c r="F22" s="6"/>
      <c r="G22" s="5"/>
      <c r="H22" s="5"/>
      <c r="I22" s="7"/>
      <c r="J22" s="7"/>
      <c r="K22" s="5"/>
      <c r="L22" s="8"/>
    </row>
    <row r="23" spans="1:12" x14ac:dyDescent="0.2">
      <c r="A23" s="10"/>
      <c r="B23" s="5" t="str">
        <f t="shared" ref="B23:B32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[ma_don_hang] [varchar] (20) NOT NULL, </v>
      </c>
      <c r="C23" s="5"/>
      <c r="D23" s="5"/>
      <c r="E23" s="5"/>
      <c r="F23" s="6"/>
      <c r="G23" s="5"/>
      <c r="H23" s="5"/>
      <c r="I23" s="7"/>
      <c r="J23" s="7"/>
      <c r="K23" s="5"/>
      <c r="L23" s="8"/>
    </row>
    <row r="24" spans="1:12" x14ac:dyDescent="0.2">
      <c r="A24" s="10"/>
      <c r="B24" s="5" t="str">
        <f t="shared" si="0"/>
        <v xml:space="preserve">[ma_gian_hang] [nvarchar] (20) NOT NULL, </v>
      </c>
      <c r="C24" s="5"/>
      <c r="D24" s="5"/>
      <c r="E24" s="5"/>
      <c r="F24" s="6"/>
      <c r="G24" s="5"/>
      <c r="H24" s="5"/>
      <c r="I24" s="7"/>
      <c r="J24" s="7"/>
      <c r="K24" s="5"/>
      <c r="L24" s="8"/>
    </row>
    <row r="25" spans="1:12" x14ac:dyDescent="0.2">
      <c r="A25" s="10"/>
      <c r="B25" s="5" t="str">
        <f t="shared" si="0"/>
        <v xml:space="preserve">[so_luong] [int] NOT NULL, </v>
      </c>
      <c r="C25" s="5"/>
      <c r="D25" s="5"/>
      <c r="E25" s="5"/>
      <c r="F25" s="6"/>
      <c r="G25" s="5"/>
      <c r="H25" s="5"/>
      <c r="I25" s="7"/>
      <c r="J25" s="7"/>
      <c r="K25" s="5"/>
      <c r="L25" s="8"/>
    </row>
    <row r="26" spans="1:12" x14ac:dyDescent="0.2">
      <c r="A26" s="10"/>
      <c r="B26" s="5" t="str">
        <f t="shared" si="0"/>
        <v xml:space="preserve">[khuyen_mai] [float] NULL, </v>
      </c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10"/>
      <c r="B27" s="5" t="str">
        <f t="shared" si="0"/>
        <v xml:space="preserve">[thanh_tien] [float] NULL, </v>
      </c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10"/>
      <c r="B28" s="5" t="str">
        <f t="shared" si="0"/>
        <v xml:space="preserve">[trang_thai] [varchar] (50) NOT NULL, </v>
      </c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10"/>
      <c r="B29" s="5" t="str">
        <f t="shared" si="0"/>
        <v xml:space="preserve">[ngay_tao] [datetime] NOT NULL, </v>
      </c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10"/>
      <c r="B30" s="5" t="str">
        <f t="shared" si="0"/>
        <v xml:space="preserve">[nguoi_tao] [nvarchar] (32) NOT NULL, </v>
      </c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/>
      <c r="B31" s="5" t="str">
        <f t="shared" si="0"/>
        <v xml:space="preserve">[ngay_cap_nhat] [datetime] NULL, </v>
      </c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 t="shared" si="0"/>
        <v xml:space="preserve">[nguoi_cap_nhat] [nvarchar] (32)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9" t="s">
        <v>12</v>
      </c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9" t="s">
        <v>11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9"/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9" t="str">
        <f>"ALTER TABLE [dbo].["&amp;$B$1&amp;"] ADD"</f>
        <v>ALTER TABLE [dbo].[Order_Merchants] ADD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9"/>
      <c r="B37" s="5" t="str">
        <f>"CONSTRAINT [PK_"&amp;$B$1&amp;"] PRIMARY KEY  CLUSTERED"</f>
        <v>CONSTRAINT [PK_Order_Merchants] PRIMARY KEY  CLUSTERED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9"/>
      <c r="B38" s="5" t="s">
        <v>13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9"/>
      <c r="B39" s="5"/>
      <c r="C39" s="5" t="str">
        <f>IF(D4=TRUE, "["&amp;A4&amp;"]"&amp;IF(D5="", "", ", "), "")</f>
        <v xml:space="preserve">[id], </v>
      </c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9"/>
      <c r="B40" s="5"/>
      <c r="C40" s="5" t="str">
        <f t="shared" ref="C40:C41" si="1">IF(D5=TRUE, "["&amp;A5&amp;"]"&amp;IF(D6="", "", ", "), "")</f>
        <v xml:space="preserve">[ma_don_hang], </v>
      </c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9"/>
      <c r="B41" s="5"/>
      <c r="C41" s="5" t="str">
        <f t="shared" si="1"/>
        <v>[ma_gian_hang]</v>
      </c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9"/>
      <c r="B42" s="5" t="s">
        <v>14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ht="13.5" thickBot="1" x14ac:dyDescent="0.25">
      <c r="A43" s="11" t="s">
        <v>11</v>
      </c>
      <c r="B43" s="12"/>
      <c r="C43" s="12"/>
      <c r="D43" s="12"/>
      <c r="E43" s="12"/>
      <c r="F43" s="13"/>
      <c r="G43" s="12"/>
      <c r="H43" s="12"/>
      <c r="I43" s="14"/>
      <c r="J43" s="14"/>
      <c r="K43" s="12"/>
      <c r="L43" s="15"/>
    </row>
    <row r="44" spans="1:12" x14ac:dyDescent="0.2">
      <c r="A44" s="2"/>
      <c r="B44" s="2"/>
      <c r="C44" s="2"/>
      <c r="D44" s="2"/>
      <c r="E44" s="2"/>
      <c r="F44" s="3"/>
      <c r="G44" s="2"/>
      <c r="H44" s="2"/>
      <c r="I44" s="4"/>
      <c r="J44" s="4"/>
      <c r="K44" s="2"/>
      <c r="L44" s="2"/>
    </row>
    <row r="45" spans="1:12" x14ac:dyDescent="0.2">
      <c r="C45" t="s">
        <v>44</v>
      </c>
    </row>
    <row r="49" spans="1:3" x14ac:dyDescent="0.2">
      <c r="A49" s="37" t="s">
        <v>45</v>
      </c>
      <c r="B49" s="37" t="str">
        <f>B1</f>
        <v>Order_Merchants</v>
      </c>
      <c r="C49" s="37"/>
    </row>
    <row r="50" spans="1:3" x14ac:dyDescent="0.2">
      <c r="A50" s="37" t="s">
        <v>46</v>
      </c>
      <c r="B50" s="37"/>
      <c r="C50" s="37"/>
    </row>
    <row r="51" spans="1:3" x14ac:dyDescent="0.2">
      <c r="A51" s="37"/>
      <c r="B51" s="37" t="s">
        <v>47</v>
      </c>
      <c r="C51" s="37"/>
    </row>
    <row r="52" spans="1:3" x14ac:dyDescent="0.2">
      <c r="A52" s="37"/>
      <c r="B52" s="37" t="s">
        <v>48</v>
      </c>
      <c r="C52" s="37"/>
    </row>
    <row r="53" spans="1:3" x14ac:dyDescent="0.2">
      <c r="A53" s="37" t="s">
        <v>49</v>
      </c>
      <c r="B53" s="37" t="str">
        <f>IF(OR($B4="nvarchar",$B4="varchar"),"string",IF($B4="datetime","DateTime",$B4))</f>
        <v>int</v>
      </c>
      <c r="C53" s="37" t="str">
        <f>A4&amp;" "&amp;$C$45</f>
        <v>id  { get; set; }</v>
      </c>
    </row>
    <row r="54" spans="1:3" x14ac:dyDescent="0.2">
      <c r="A54" s="37" t="s">
        <v>49</v>
      </c>
      <c r="B54" s="37" t="str">
        <f t="shared" ref="B54:B63" si="2">IF(OR($B5="nvarchar",$B5="varchar"),"string",IF($B5="datetime","DateTime",$B5))</f>
        <v>string</v>
      </c>
      <c r="C54" s="37" t="str">
        <f t="shared" ref="C54:C63" si="3">A5&amp;" "&amp;$C$45</f>
        <v>ma_don_hang  { get; set; }</v>
      </c>
    </row>
    <row r="55" spans="1:3" x14ac:dyDescent="0.2">
      <c r="A55" s="37" t="s">
        <v>49</v>
      </c>
      <c r="B55" s="37" t="str">
        <f t="shared" si="2"/>
        <v>string</v>
      </c>
      <c r="C55" s="37" t="str">
        <f t="shared" si="3"/>
        <v>ma_gian_hang  { get; set; }</v>
      </c>
    </row>
    <row r="56" spans="1:3" x14ac:dyDescent="0.2">
      <c r="A56" s="37" t="s">
        <v>49</v>
      </c>
      <c r="B56" s="37" t="str">
        <f t="shared" si="2"/>
        <v>int</v>
      </c>
      <c r="C56" s="37" t="str">
        <f t="shared" si="3"/>
        <v>so_luong  { get; set; }</v>
      </c>
    </row>
    <row r="57" spans="1:3" x14ac:dyDescent="0.2">
      <c r="A57" s="37" t="s">
        <v>49</v>
      </c>
      <c r="B57" s="37" t="str">
        <f t="shared" si="2"/>
        <v>float</v>
      </c>
      <c r="C57" s="37" t="str">
        <f t="shared" si="3"/>
        <v>khuyen_mai  { get; set; }</v>
      </c>
    </row>
    <row r="58" spans="1:3" x14ac:dyDescent="0.2">
      <c r="A58" s="37" t="s">
        <v>49</v>
      </c>
      <c r="B58" s="37" t="str">
        <f t="shared" si="2"/>
        <v>float</v>
      </c>
      <c r="C58" s="37" t="str">
        <f t="shared" si="3"/>
        <v>thanh_tien  { get; set; }</v>
      </c>
    </row>
    <row r="59" spans="1:3" x14ac:dyDescent="0.2">
      <c r="A59" s="37" t="s">
        <v>49</v>
      </c>
      <c r="B59" s="37" t="str">
        <f t="shared" si="2"/>
        <v>string</v>
      </c>
      <c r="C59" s="37" t="str">
        <f t="shared" si="3"/>
        <v>trang_thai  { get; set; }</v>
      </c>
    </row>
    <row r="60" spans="1:3" x14ac:dyDescent="0.2">
      <c r="A60" s="37" t="s">
        <v>49</v>
      </c>
      <c r="B60" s="37" t="str">
        <f t="shared" si="2"/>
        <v>DateTime</v>
      </c>
      <c r="C60" s="37" t="str">
        <f t="shared" si="3"/>
        <v>ngay_tao  { get; set; }</v>
      </c>
    </row>
    <row r="61" spans="1:3" x14ac:dyDescent="0.2">
      <c r="A61" s="37" t="s">
        <v>49</v>
      </c>
      <c r="B61" s="37" t="str">
        <f t="shared" si="2"/>
        <v>string</v>
      </c>
      <c r="C61" s="37" t="str">
        <f t="shared" si="3"/>
        <v>nguoi_tao  { get; set; }</v>
      </c>
    </row>
    <row r="62" spans="1:3" x14ac:dyDescent="0.2">
      <c r="A62" s="37" t="s">
        <v>49</v>
      </c>
      <c r="B62" s="37" t="str">
        <f t="shared" si="2"/>
        <v>DateTime</v>
      </c>
      <c r="C62" s="37" t="str">
        <f t="shared" si="3"/>
        <v>ngay_cap_nhat  { get; set; }</v>
      </c>
    </row>
    <row r="63" spans="1:3" x14ac:dyDescent="0.2">
      <c r="A63" s="37" t="s">
        <v>49</v>
      </c>
      <c r="B63" s="37" t="str">
        <f t="shared" si="2"/>
        <v>string</v>
      </c>
      <c r="C63" s="37" t="str">
        <f t="shared" si="3"/>
        <v>nguoi_cap_nhat  { get; set; }</v>
      </c>
    </row>
    <row r="64" spans="1:3" x14ac:dyDescent="0.2">
      <c r="A64" s="37" t="s">
        <v>50</v>
      </c>
      <c r="B64" s="37"/>
      <c r="C64" s="37" t="str">
        <f>IF($B15="nvarchar","("&amp;$C$5&amp;")",IF($B15="varchar","("&amp;$C15&amp;")",""))</f>
        <v/>
      </c>
    </row>
    <row r="66" spans="1:16" x14ac:dyDescent="0.2">
      <c r="A66" s="37" t="s">
        <v>72</v>
      </c>
    </row>
    <row r="67" spans="1:16" x14ac:dyDescent="0.2">
      <c r="A67" s="40" t="str">
        <f>"DROP TABLE IF EXISTS "&amp;$B$1&amp;"s;"</f>
        <v>DROP TABLE IF EXISTS Order_Merchantss;</v>
      </c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</row>
    <row r="68" spans="1:16" x14ac:dyDescent="0.2">
      <c r="A68" s="42" t="str">
        <f>"CREATE TABLE "&amp;$B$1&amp;"("</f>
        <v>CREATE TABLE Order_Merchants(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</row>
    <row r="69" spans="1:16" x14ac:dyDescent="0.2">
      <c r="A69" s="41"/>
      <c r="B69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</row>
    <row r="70" spans="1:16" x14ac:dyDescent="0.2">
      <c r="A70" s="41"/>
      <c r="B70" s="41" t="str">
        <f t="shared" ref="B70:B79" si="4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ma_don_hang varchar(20) NOT NULL, 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</row>
    <row r="71" spans="1:16" x14ac:dyDescent="0.2">
      <c r="A71" s="41"/>
      <c r="B71" s="41" t="str">
        <f t="shared" si="4"/>
        <v xml:space="preserve">ma_gian_hang nvarchar(20) NOT NULL, </v>
      </c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</row>
    <row r="72" spans="1:16" x14ac:dyDescent="0.2">
      <c r="A72" s="41"/>
      <c r="B72" s="41" t="str">
        <f t="shared" si="4"/>
        <v xml:space="preserve">so_luong int NOT NULL, </v>
      </c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</row>
    <row r="73" spans="1:16" x14ac:dyDescent="0.2">
      <c r="A73" s="41"/>
      <c r="B73" s="41" t="str">
        <f t="shared" si="4"/>
        <v xml:space="preserve">khuyen_mai float NULL, </v>
      </c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</row>
    <row r="74" spans="1:16" x14ac:dyDescent="0.2">
      <c r="A74" s="41"/>
      <c r="B74" s="41" t="str">
        <f t="shared" si="4"/>
        <v xml:space="preserve">thanh_tien float NULL, </v>
      </c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</row>
    <row r="75" spans="1:16" x14ac:dyDescent="0.2">
      <c r="A75" s="41"/>
      <c r="B75" s="41" t="str">
        <f t="shared" si="4"/>
        <v xml:space="preserve">trang_thai varchar(50) NOT NULL, </v>
      </c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</row>
    <row r="76" spans="1:16" x14ac:dyDescent="0.2">
      <c r="A76" s="41"/>
      <c r="B76" s="41" t="str">
        <f t="shared" si="4"/>
        <v xml:space="preserve">ngay_tao datetime NOT NULL, </v>
      </c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</row>
    <row r="77" spans="1:16" x14ac:dyDescent="0.2">
      <c r="A77" s="41"/>
      <c r="B77" s="41" t="str">
        <f t="shared" si="4"/>
        <v xml:space="preserve">nguoi_tao nvarchar(32) NOT NULL, </v>
      </c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</row>
    <row r="78" spans="1:16" x14ac:dyDescent="0.2">
      <c r="A78" s="41"/>
      <c r="B78" s="41" t="str">
        <f t="shared" si="4"/>
        <v xml:space="preserve">ngay_cap_nhat datetime NULL, </v>
      </c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</row>
    <row r="79" spans="1:16" x14ac:dyDescent="0.2">
      <c r="A79" s="41"/>
      <c r="B79" s="41" t="str">
        <f t="shared" si="4"/>
        <v xml:space="preserve">nguoi_cap_nhat nvarchar(32) NULL, </v>
      </c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</row>
    <row r="80" spans="1:16" x14ac:dyDescent="0.2">
      <c r="A80" s="41" t="s">
        <v>74</v>
      </c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</row>
    <row r="81" spans="1:16" x14ac:dyDescent="0.2">
      <c r="A81" s="41"/>
      <c r="B81" s="5" t="str">
        <f>IF(D4=TRUE, A4&amp;IF(D5="", "", ", "), "")</f>
        <v xml:space="preserve">id, </v>
      </c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</row>
    <row r="82" spans="1:16" x14ac:dyDescent="0.2">
      <c r="A82" s="41"/>
      <c r="B82" s="5" t="str">
        <f t="shared" ref="B82:B83" si="5">IF(D5=TRUE, A5&amp;IF(D6="", "", ", "), "")</f>
        <v xml:space="preserve">ma_don_hang, </v>
      </c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</row>
    <row r="83" spans="1:16" x14ac:dyDescent="0.2">
      <c r="A83" s="41"/>
      <c r="B83" s="5" t="str">
        <f t="shared" si="5"/>
        <v>ma_gian_hang</v>
      </c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</row>
    <row r="84" spans="1:16" x14ac:dyDescent="0.2">
      <c r="A84" s="41"/>
      <c r="B84" s="41" t="s">
        <v>75</v>
      </c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</row>
    <row r="85" spans="1:16" x14ac:dyDescent="0.2">
      <c r="A85" s="41" t="s">
        <v>73</v>
      </c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</row>
    <row r="86" spans="1:16" x14ac:dyDescent="0.2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</row>
    <row r="87" spans="1:16" x14ac:dyDescent="0.2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</row>
    <row r="88" spans="1:16" x14ac:dyDescent="0.2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</row>
    <row r="89" spans="1:16" x14ac:dyDescent="0.2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</row>
  </sheetData>
  <mergeCells count="1">
    <mergeCell ref="A15:B15"/>
  </mergeCells>
  <hyperlinks>
    <hyperlink ref="D1" location="'Sheet List'!A1" display="back to list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3"/>
  <sheetViews>
    <sheetView topLeftCell="A91" workbookViewId="0">
      <selection activeCell="F85" sqref="F85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1" x14ac:dyDescent="0.2">
      <c r="A1" s="1" t="s">
        <v>8</v>
      </c>
      <c r="B1" s="1" t="s">
        <v>180</v>
      </c>
      <c r="D1" s="26" t="s">
        <v>18</v>
      </c>
    </row>
    <row r="3" spans="1:11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1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1" x14ac:dyDescent="0.2">
      <c r="A5" s="53" t="s">
        <v>173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1" x14ac:dyDescent="0.2">
      <c r="A6" s="22" t="s">
        <v>155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1" x14ac:dyDescent="0.2">
      <c r="A7" s="22" t="s">
        <v>26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1" x14ac:dyDescent="0.2">
      <c r="A8" s="22" t="s">
        <v>153</v>
      </c>
      <c r="B8" s="23" t="s">
        <v>20</v>
      </c>
      <c r="C8" s="27">
        <v>512</v>
      </c>
      <c r="D8" s="23"/>
      <c r="E8" s="23"/>
      <c r="F8" s="23" t="b">
        <v>0</v>
      </c>
      <c r="G8" s="23"/>
      <c r="H8" s="23"/>
      <c r="I8" s="24"/>
      <c r="J8" s="25"/>
    </row>
    <row r="9" spans="1:11" x14ac:dyDescent="0.2">
      <c r="A9" s="22" t="s">
        <v>174</v>
      </c>
      <c r="B9" s="23" t="s">
        <v>7</v>
      </c>
      <c r="C9" s="27">
        <v>128</v>
      </c>
      <c r="D9" s="23"/>
      <c r="E9" s="23"/>
      <c r="F9" s="23" t="b">
        <v>0</v>
      </c>
      <c r="G9" s="23"/>
      <c r="H9" s="23"/>
      <c r="I9" s="24"/>
      <c r="J9" s="25"/>
    </row>
    <row r="10" spans="1:11" x14ac:dyDescent="0.2">
      <c r="A10" s="22" t="s">
        <v>171</v>
      </c>
      <c r="B10" s="23" t="s">
        <v>7</v>
      </c>
      <c r="C10" s="27">
        <v>512</v>
      </c>
      <c r="D10" s="23"/>
      <c r="E10" s="23"/>
      <c r="F10" s="23" t="b">
        <v>0</v>
      </c>
      <c r="G10" s="23"/>
      <c r="H10" s="23"/>
      <c r="I10" s="24"/>
      <c r="J10" s="25"/>
    </row>
    <row r="11" spans="1:11" x14ac:dyDescent="0.2">
      <c r="A11" s="22" t="s">
        <v>159</v>
      </c>
      <c r="B11" s="23" t="s">
        <v>56</v>
      </c>
      <c r="C11" s="27"/>
      <c r="D11" s="23"/>
      <c r="E11" s="23"/>
      <c r="F11" s="23" t="b">
        <v>0</v>
      </c>
      <c r="G11" s="23"/>
      <c r="H11" s="23"/>
      <c r="I11" s="24"/>
      <c r="J11" s="25"/>
    </row>
    <row r="12" spans="1:11" x14ac:dyDescent="0.2">
      <c r="A12" s="22" t="s">
        <v>176</v>
      </c>
      <c r="B12" s="23" t="s">
        <v>9</v>
      </c>
      <c r="C12" s="27"/>
      <c r="D12" s="23"/>
      <c r="E12" s="23"/>
      <c r="F12" s="23" t="b">
        <v>0</v>
      </c>
      <c r="I12" t="s">
        <v>179</v>
      </c>
    </row>
    <row r="13" spans="1:11" x14ac:dyDescent="0.2">
      <c r="A13" s="22" t="s">
        <v>177</v>
      </c>
      <c r="B13" s="23" t="s">
        <v>20</v>
      </c>
      <c r="C13" s="27">
        <v>128</v>
      </c>
      <c r="D13" s="23"/>
      <c r="E13" s="23"/>
      <c r="F13" s="23" t="b">
        <v>0</v>
      </c>
    </row>
    <row r="14" spans="1:11" x14ac:dyDescent="0.2">
      <c r="A14" s="22" t="s">
        <v>175</v>
      </c>
      <c r="B14" s="23" t="s">
        <v>20</v>
      </c>
      <c r="C14" s="27">
        <v>128</v>
      </c>
      <c r="D14" s="23"/>
      <c r="E14" s="23"/>
      <c r="F14" s="23" t="b">
        <v>0</v>
      </c>
      <c r="G14" s="23"/>
      <c r="H14" s="23"/>
      <c r="I14" s="24"/>
      <c r="K14" s="24"/>
    </row>
    <row r="15" spans="1:11" x14ac:dyDescent="0.2">
      <c r="A15" s="22" t="s">
        <v>158</v>
      </c>
      <c r="B15" s="23" t="s">
        <v>20</v>
      </c>
      <c r="C15" s="27">
        <v>128</v>
      </c>
      <c r="D15" s="23"/>
      <c r="E15" s="23"/>
      <c r="F15" s="23" t="b">
        <v>1</v>
      </c>
      <c r="G15" s="23"/>
      <c r="H15" s="23"/>
      <c r="I15" s="24"/>
      <c r="J15" s="25"/>
    </row>
    <row r="16" spans="1:11" x14ac:dyDescent="0.2">
      <c r="A16" s="22" t="s">
        <v>160</v>
      </c>
      <c r="B16" s="23" t="s">
        <v>20</v>
      </c>
      <c r="C16" s="27">
        <v>4096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">
      <c r="A17" s="30" t="s">
        <v>51</v>
      </c>
      <c r="B17" s="23" t="s">
        <v>7</v>
      </c>
      <c r="C17" s="27">
        <v>32</v>
      </c>
      <c r="D17" s="23"/>
      <c r="E17" s="23"/>
      <c r="F17" s="23" t="b">
        <v>0</v>
      </c>
      <c r="G17" s="23"/>
      <c r="H17" s="23"/>
      <c r="I17" s="24"/>
      <c r="J17" s="25"/>
    </row>
    <row r="18" spans="1:12" x14ac:dyDescent="0.2">
      <c r="A18" s="22" t="s">
        <v>22</v>
      </c>
      <c r="B18" s="23" t="s">
        <v>20</v>
      </c>
      <c r="C18" s="27">
        <v>32</v>
      </c>
      <c r="D18" s="23"/>
      <c r="E18" s="23"/>
      <c r="F18" s="23" t="b">
        <v>0</v>
      </c>
      <c r="G18" s="23"/>
      <c r="H18" s="23"/>
      <c r="I18" s="24"/>
      <c r="J18" s="25"/>
    </row>
    <row r="19" spans="1:12" x14ac:dyDescent="0.2">
      <c r="A19" s="22" t="s">
        <v>21</v>
      </c>
      <c r="B19" s="23" t="s">
        <v>9</v>
      </c>
      <c r="C19" s="27"/>
      <c r="D19" s="23"/>
      <c r="E19" s="23"/>
      <c r="F19" s="23" t="b">
        <v>0</v>
      </c>
      <c r="G19" s="23"/>
      <c r="H19" s="23"/>
      <c r="I19" s="24"/>
      <c r="J19" s="25"/>
    </row>
    <row r="20" spans="1:12" x14ac:dyDescent="0.2">
      <c r="A20" s="22" t="s">
        <v>24</v>
      </c>
      <c r="B20" s="23" t="s">
        <v>20</v>
      </c>
      <c r="C20" s="27">
        <v>32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">
      <c r="A21" s="22" t="s">
        <v>23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B23" s="23"/>
      <c r="C23" s="27"/>
      <c r="D23" s="28"/>
      <c r="E23" s="28"/>
      <c r="F23" s="28"/>
      <c r="G23" s="28"/>
      <c r="H23" s="28"/>
      <c r="I23" s="31"/>
      <c r="J23" s="25"/>
    </row>
    <row r="24" spans="1:12" x14ac:dyDescent="0.2">
      <c r="B24" s="23"/>
      <c r="C24" s="27"/>
      <c r="D24" s="23"/>
      <c r="E24" s="23"/>
      <c r="F24" s="23"/>
      <c r="G24" s="23"/>
      <c r="H24" s="23"/>
      <c r="I24" s="24"/>
      <c r="J24" s="25"/>
    </row>
    <row r="25" spans="1:12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2" x14ac:dyDescent="0.2">
      <c r="A26" s="22"/>
      <c r="B26" s="23"/>
      <c r="C26" s="27"/>
      <c r="D26" s="23"/>
      <c r="E26" s="23"/>
      <c r="F26" s="23"/>
      <c r="G26" s="23"/>
      <c r="H26" s="23"/>
      <c r="I26" s="24"/>
      <c r="J26" s="25"/>
    </row>
    <row r="27" spans="1:12" x14ac:dyDescent="0.2">
      <c r="A27" s="22"/>
      <c r="B27" s="23"/>
      <c r="C27" s="27"/>
      <c r="D27" s="23"/>
      <c r="E27" s="23"/>
      <c r="F27" s="23"/>
      <c r="G27" s="23"/>
      <c r="H27" s="23"/>
      <c r="I27" s="24"/>
      <c r="J27" s="25"/>
    </row>
    <row r="28" spans="1:12" x14ac:dyDescent="0.2">
      <c r="A28" s="22"/>
      <c r="B28" s="23"/>
      <c r="C28" s="27"/>
      <c r="D28" s="23"/>
      <c r="E28" s="23"/>
      <c r="F28" s="23"/>
      <c r="G28" s="23"/>
      <c r="H28" s="23"/>
      <c r="I28" s="24"/>
      <c r="J28" s="25"/>
    </row>
    <row r="29" spans="1:12" x14ac:dyDescent="0.2">
      <c r="A29" s="22"/>
      <c r="B29" s="23"/>
      <c r="C29" s="27"/>
      <c r="D29" s="23"/>
      <c r="E29" s="23"/>
      <c r="F29" s="23"/>
      <c r="G29" s="23"/>
      <c r="H29" s="23"/>
      <c r="I29" s="24"/>
      <c r="J29" s="25"/>
    </row>
    <row r="30" spans="1:12" x14ac:dyDescent="0.2">
      <c r="A30" s="22"/>
      <c r="B30" s="23"/>
      <c r="C30" s="27"/>
      <c r="D30" s="23"/>
      <c r="E30" s="23"/>
      <c r="F30" s="23"/>
      <c r="G30" s="23"/>
      <c r="H30" s="23"/>
      <c r="I30" s="24"/>
      <c r="J30" s="25"/>
    </row>
    <row r="31" spans="1:12" ht="13.5" thickBot="1" x14ac:dyDescent="0.25"/>
    <row r="32" spans="1:12" ht="13.5" thickBot="1" x14ac:dyDescent="0.25">
      <c r="A32" s="60" t="s">
        <v>10</v>
      </c>
      <c r="B32" s="61"/>
      <c r="C32" s="16"/>
      <c r="D32" s="17"/>
      <c r="E32" s="17"/>
      <c r="F32" s="18"/>
      <c r="G32" s="18"/>
      <c r="H32" s="18"/>
      <c r="I32" s="18"/>
      <c r="J32" s="18"/>
      <c r="K32" s="18"/>
      <c r="L32" s="18"/>
    </row>
    <row r="33" spans="1:12" x14ac:dyDescent="0.2">
      <c r="A33" s="5"/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5" t="str">
        <f>"if exists (select * from dbo.sysobjects where id = object_id(N'[dbo].["&amp;$B$1&amp;"]') and OBJECTPROPERTY(id, N'IsUserTable') = 1)"</f>
        <v>if exists (select * from dbo.sysobjects where id = object_id(N'[dbo].[Merchant_StockOutHeader]') and OBJECTPROPERTY(id, N'IsUserTable') = 1)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9" t="str">
        <f>"drop table [dbo].["&amp;$B$1&amp;"]"</f>
        <v>drop table [dbo].[Merchant_StockOutHeader]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9" t="s">
        <v>11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9"/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 t="str">
        <f>"CREATE TABLE [dbo].["&amp;$B$1&amp;"] ("</f>
        <v>CREATE TABLE [dbo].[Merchant_StockOutHeader] (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ref="B40:B56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[ma_xuat_kho] [varchar] (20) NOT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[ma_kho] [varchar] (20) NOT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[ma_gian_hang] [varchar] (20)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[dia_diem] [nvarchar] (512)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[ma_phieu_xuat_kho] [varchar] (128) NOT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[ma_chung_tu] [varchar] (512) NOT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[tong_so_tien] [float] NOT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 xml:space="preserve">[ngay_xuat_kho] [datetime] NOT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 t="str">
        <f t="shared" si="0"/>
        <v xml:space="preserve">[nguoi_xuat] [nvarchar] (128) NOT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10"/>
      <c r="B49" s="5" t="str">
        <f t="shared" si="0"/>
        <v xml:space="preserve">[nguoi_nhan] [nvarchar] (128) NOT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10"/>
      <c r="B50" s="5" t="str">
        <f t="shared" si="0"/>
        <v xml:space="preserve">[thu_kho] [nvarchar] (128)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10"/>
      <c r="B51" s="5" t="str">
        <f t="shared" si="0"/>
        <v xml:space="preserve">[ghi_chu] [nvarchar] (4096)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10"/>
      <c r="B52" s="5" t="str">
        <f t="shared" si="0"/>
        <v xml:space="preserve">[trang_thai] [varchar] (32) NOT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10"/>
      <c r="B53" s="5" t="str">
        <f t="shared" si="0"/>
        <v xml:space="preserve">[nguoi_tao] [nvarchar] (32) NOT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10"/>
      <c r="B54" s="5" t="str">
        <f t="shared" si="0"/>
        <v xml:space="preserve">[ngay_tao] [datetime] NOT NULL, 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10"/>
      <c r="B55" s="5" t="str">
        <f t="shared" si="0"/>
        <v xml:space="preserve">[nguoi_cap_nhat] [nvarchar] (32)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10"/>
      <c r="B56" s="5" t="str">
        <f t="shared" si="0"/>
        <v>[ngay_cap_nhat] [datetime] NULL</v>
      </c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 t="s">
        <v>12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 t="s">
        <v>11</v>
      </c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9"/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">
      <c r="A60" s="9" t="str">
        <f>"ALTER TABLE [dbo].["&amp;$B$1&amp;"] ADD"</f>
        <v>ALTER TABLE [dbo].[Merchant_StockOutHeader] ADD</v>
      </c>
      <c r="B60" s="5"/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">
      <c r="A61" s="9"/>
      <c r="B61" s="5" t="str">
        <f>"CONSTRAINT [PK_"&amp;$B$1&amp;"] PRIMARY KEY  CLUSTERED"</f>
        <v>CONSTRAINT [PK_Merchant_StockOutHeader] PRIMARY KEY  CLUSTERED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">
      <c r="A62" s="9"/>
      <c r="B62" s="5" t="s">
        <v>13</v>
      </c>
      <c r="C62" s="5"/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">
      <c r="A63" s="9"/>
      <c r="B63" s="5"/>
      <c r="C63" s="5" t="str">
        <f>IF(D4=TRUE, "["&amp;A4&amp;"]"&amp;IF(D5="", "", ", "), "")</f>
        <v xml:space="preserve">[id], </v>
      </c>
      <c r="D63" s="5"/>
      <c r="E63" s="5"/>
      <c r="F63" s="6"/>
      <c r="G63" s="5"/>
      <c r="H63" s="5"/>
      <c r="I63" s="7"/>
      <c r="J63" s="7"/>
      <c r="K63" s="5"/>
      <c r="L63" s="8"/>
    </row>
    <row r="64" spans="1:12" x14ac:dyDescent="0.2">
      <c r="A64" s="9"/>
      <c r="B64" s="5"/>
      <c r="C64" s="5" t="str">
        <f>IF(D5=TRUE, "["&amp;A5&amp;"]"&amp;IF(D6="", "", ", "), "")</f>
        <v>[ma_xuat_kho]</v>
      </c>
      <c r="D64" s="5"/>
      <c r="E64" s="5"/>
      <c r="F64" s="6"/>
      <c r="G64" s="5"/>
      <c r="H64" s="5"/>
      <c r="I64" s="7"/>
      <c r="J64" s="7"/>
      <c r="K64" s="5"/>
      <c r="L64" s="8"/>
    </row>
    <row r="65" spans="1:12" x14ac:dyDescent="0.2">
      <c r="A65" s="9"/>
      <c r="B65" s="5"/>
      <c r="C65" s="5" t="str">
        <f>IF(D6=TRUE, "["&amp;#REF!&amp;"]"&amp;IF(D8="", "", ", "), "")</f>
        <v/>
      </c>
      <c r="D65" s="5"/>
      <c r="E65" s="5"/>
      <c r="F65" s="6"/>
      <c r="G65" s="5"/>
      <c r="H65" s="5"/>
      <c r="I65" s="7"/>
      <c r="J65" s="7"/>
      <c r="K65" s="5"/>
      <c r="L65" s="8"/>
    </row>
    <row r="66" spans="1:12" x14ac:dyDescent="0.2">
      <c r="A66" s="9"/>
      <c r="B66" s="5" t="s">
        <v>14</v>
      </c>
      <c r="C66" s="5"/>
      <c r="D66" s="5"/>
      <c r="E66" s="5"/>
      <c r="F66" s="6"/>
      <c r="G66" s="5"/>
      <c r="H66" s="5"/>
      <c r="I66" s="7"/>
      <c r="J66" s="7"/>
      <c r="K66" s="5"/>
      <c r="L66" s="8"/>
    </row>
    <row r="67" spans="1:12" ht="13.5" thickBot="1" x14ac:dyDescent="0.25">
      <c r="A67" s="11" t="s">
        <v>11</v>
      </c>
      <c r="B67" s="12"/>
      <c r="C67" s="12"/>
      <c r="D67" s="12"/>
      <c r="E67" s="12"/>
      <c r="F67" s="13"/>
      <c r="G67" s="12"/>
      <c r="H67" s="12"/>
      <c r="I67" s="14"/>
      <c r="J67" s="14"/>
      <c r="K67" s="12"/>
      <c r="L67" s="15"/>
    </row>
    <row r="68" spans="1:12" x14ac:dyDescent="0.2">
      <c r="A68" s="2"/>
      <c r="B68" s="2"/>
      <c r="C68" s="2"/>
      <c r="D68" s="2"/>
      <c r="E68" s="2"/>
      <c r="F68" s="3"/>
      <c r="G68" s="2"/>
      <c r="H68" s="2"/>
      <c r="I68" s="4"/>
      <c r="J68" s="4"/>
      <c r="K68" s="2"/>
      <c r="L68" s="2"/>
    </row>
    <row r="69" spans="1:12" x14ac:dyDescent="0.2">
      <c r="C69" t="s">
        <v>44</v>
      </c>
    </row>
    <row r="70" spans="1:12" x14ac:dyDescent="0.2">
      <c r="A70" s="37" t="s">
        <v>45</v>
      </c>
      <c r="B70" s="37" t="str">
        <f>B1</f>
        <v>Merchant_StockOutHeader</v>
      </c>
      <c r="C70" s="37"/>
    </row>
    <row r="71" spans="1:12" x14ac:dyDescent="0.2">
      <c r="A71" s="37" t="s">
        <v>46</v>
      </c>
      <c r="B71" s="37"/>
      <c r="C71" s="37"/>
    </row>
    <row r="72" spans="1:12" x14ac:dyDescent="0.2">
      <c r="A72" s="37"/>
      <c r="B72" s="37" t="s">
        <v>47</v>
      </c>
      <c r="C72" s="37"/>
    </row>
    <row r="73" spans="1:12" x14ac:dyDescent="0.2">
      <c r="A73" s="37"/>
      <c r="B73" s="37" t="s">
        <v>48</v>
      </c>
      <c r="C73" s="37"/>
    </row>
    <row r="74" spans="1:12" x14ac:dyDescent="0.2">
      <c r="A74" s="37" t="s">
        <v>49</v>
      </c>
      <c r="B74" s="37" t="str">
        <f>IF(OR($B4="nvarchar",$B4="varchar"),"string",IF($B4="datetime","DateTime",$B4))</f>
        <v>int</v>
      </c>
      <c r="C74" s="37" t="str">
        <f>A4&amp;" "&amp;$C$69</f>
        <v>id  { get; set; }</v>
      </c>
    </row>
    <row r="75" spans="1:12" x14ac:dyDescent="0.2">
      <c r="A75" s="37" t="s">
        <v>49</v>
      </c>
      <c r="B75" s="37" t="str">
        <f t="shared" ref="B75:B91" si="1">IF(OR($B5="nvarchar",$B5="varchar"),"string",IF($B5="datetime","DateTime",$B5))</f>
        <v>string</v>
      </c>
      <c r="C75" s="37" t="str">
        <f t="shared" ref="C75:C91" si="2">A5&amp;" "&amp;$C$69</f>
        <v>ma_xuat_kho  { get; set; }</v>
      </c>
    </row>
    <row r="76" spans="1:12" x14ac:dyDescent="0.2">
      <c r="A76" s="37" t="s">
        <v>49</v>
      </c>
      <c r="B76" s="37" t="str">
        <f t="shared" si="1"/>
        <v>string</v>
      </c>
      <c r="C76" s="37" t="str">
        <f t="shared" si="2"/>
        <v>ma_kho  { get; set; }</v>
      </c>
    </row>
    <row r="77" spans="1:12" x14ac:dyDescent="0.2">
      <c r="A77" s="37" t="s">
        <v>49</v>
      </c>
      <c r="B77" s="37" t="str">
        <f t="shared" si="1"/>
        <v>string</v>
      </c>
      <c r="C77" s="37" t="str">
        <f t="shared" si="2"/>
        <v>ma_gian_hang  { get; set; }</v>
      </c>
    </row>
    <row r="78" spans="1:12" x14ac:dyDescent="0.2">
      <c r="A78" s="37" t="s">
        <v>49</v>
      </c>
      <c r="B78" s="37" t="str">
        <f t="shared" si="1"/>
        <v>string</v>
      </c>
      <c r="C78" s="37" t="str">
        <f t="shared" si="2"/>
        <v>dia_diem  { get; set; }</v>
      </c>
    </row>
    <row r="79" spans="1:12" x14ac:dyDescent="0.2">
      <c r="A79" s="37" t="s">
        <v>49</v>
      </c>
      <c r="B79" s="37" t="str">
        <f t="shared" si="1"/>
        <v>string</v>
      </c>
      <c r="C79" s="37" t="str">
        <f t="shared" si="2"/>
        <v>ma_phieu_xuat_kho  { get; set; }</v>
      </c>
    </row>
    <row r="80" spans="1:12" x14ac:dyDescent="0.2">
      <c r="A80" s="37" t="s">
        <v>49</v>
      </c>
      <c r="B80" s="37" t="str">
        <f t="shared" si="1"/>
        <v>string</v>
      </c>
      <c r="C80" s="37" t="str">
        <f t="shared" si="2"/>
        <v>ma_chung_tu  { get; set; }</v>
      </c>
    </row>
    <row r="81" spans="1:3" x14ac:dyDescent="0.2">
      <c r="A81" s="37" t="s">
        <v>49</v>
      </c>
      <c r="B81" s="37" t="str">
        <f t="shared" si="1"/>
        <v>float</v>
      </c>
      <c r="C81" s="37" t="str">
        <f t="shared" si="2"/>
        <v>tong_so_tien  { get; set; }</v>
      </c>
    </row>
    <row r="82" spans="1:3" x14ac:dyDescent="0.2">
      <c r="A82" s="37" t="s">
        <v>49</v>
      </c>
      <c r="B82" s="37" t="str">
        <f t="shared" si="1"/>
        <v>DateTime</v>
      </c>
      <c r="C82" s="37" t="str">
        <f t="shared" si="2"/>
        <v>ngay_xuat_kho  { get; set; }</v>
      </c>
    </row>
    <row r="83" spans="1:3" x14ac:dyDescent="0.2">
      <c r="A83" s="37" t="s">
        <v>49</v>
      </c>
      <c r="B83" s="37" t="str">
        <f t="shared" si="1"/>
        <v>string</v>
      </c>
      <c r="C83" s="37" t="str">
        <f t="shared" si="2"/>
        <v>nguoi_xuat  { get; set; }</v>
      </c>
    </row>
    <row r="84" spans="1:3" x14ac:dyDescent="0.2">
      <c r="A84" s="37" t="s">
        <v>49</v>
      </c>
      <c r="B84" s="37" t="str">
        <f t="shared" si="1"/>
        <v>string</v>
      </c>
      <c r="C84" s="37" t="str">
        <f t="shared" si="2"/>
        <v>nguoi_nhan  { get; set; }</v>
      </c>
    </row>
    <row r="85" spans="1:3" x14ac:dyDescent="0.2">
      <c r="A85" s="37" t="s">
        <v>49</v>
      </c>
      <c r="B85" s="37" t="str">
        <f t="shared" si="1"/>
        <v>string</v>
      </c>
      <c r="C85" s="37" t="str">
        <f t="shared" si="2"/>
        <v>thu_kho  { get; set; }</v>
      </c>
    </row>
    <row r="86" spans="1:3" x14ac:dyDescent="0.2">
      <c r="A86" s="37" t="s">
        <v>49</v>
      </c>
      <c r="B86" s="37" t="str">
        <f t="shared" si="1"/>
        <v>string</v>
      </c>
      <c r="C86" s="37" t="str">
        <f t="shared" si="2"/>
        <v>ghi_chu  { get; set; }</v>
      </c>
    </row>
    <row r="87" spans="1:3" x14ac:dyDescent="0.2">
      <c r="A87" s="37" t="s">
        <v>49</v>
      </c>
      <c r="B87" s="37" t="str">
        <f t="shared" si="1"/>
        <v>string</v>
      </c>
      <c r="C87" s="37" t="str">
        <f t="shared" si="2"/>
        <v>trang_thai  { get; set; }</v>
      </c>
    </row>
    <row r="88" spans="1:3" x14ac:dyDescent="0.2">
      <c r="A88" s="37" t="s">
        <v>49</v>
      </c>
      <c r="B88" s="37" t="str">
        <f t="shared" si="1"/>
        <v>string</v>
      </c>
      <c r="C88" s="37" t="str">
        <f t="shared" si="2"/>
        <v>nguoi_tao  { get; set; }</v>
      </c>
    </row>
    <row r="89" spans="1:3" x14ac:dyDescent="0.2">
      <c r="A89" s="37" t="s">
        <v>49</v>
      </c>
      <c r="B89" s="37" t="str">
        <f t="shared" si="1"/>
        <v>DateTime</v>
      </c>
      <c r="C89" s="37" t="str">
        <f t="shared" si="2"/>
        <v>ngay_tao  { get; set; }</v>
      </c>
    </row>
    <row r="90" spans="1:3" x14ac:dyDescent="0.2">
      <c r="A90" s="37" t="s">
        <v>49</v>
      </c>
      <c r="B90" s="37" t="str">
        <f t="shared" si="1"/>
        <v>string</v>
      </c>
      <c r="C90" s="37" t="str">
        <f t="shared" si="2"/>
        <v>nguoi_cap_nhat  { get; set; }</v>
      </c>
    </row>
    <row r="91" spans="1:3" x14ac:dyDescent="0.2">
      <c r="A91" s="37" t="s">
        <v>49</v>
      </c>
      <c r="B91" s="37" t="str">
        <f t="shared" si="1"/>
        <v>DateTime</v>
      </c>
      <c r="C91" s="37" t="str">
        <f t="shared" si="2"/>
        <v>ngay_cap_nhat  { get; set; }</v>
      </c>
    </row>
    <row r="92" spans="1:3" x14ac:dyDescent="0.2">
      <c r="A92" s="37" t="s">
        <v>50</v>
      </c>
      <c r="B92" s="37"/>
      <c r="C92" s="37" t="str">
        <f>IF($B32="nvarchar","("&amp;$C$5&amp;")",IF($B32="varchar","("&amp;$C32&amp;")",""))</f>
        <v/>
      </c>
    </row>
    <row r="94" spans="1:3" x14ac:dyDescent="0.2">
      <c r="A94" s="37" t="s">
        <v>72</v>
      </c>
    </row>
    <row r="95" spans="1:3" s="41" customFormat="1" x14ac:dyDescent="0.2">
      <c r="A95" s="40" t="str">
        <f>"DROP TABLE IF EXISTS "&amp;$B$1&amp;";"</f>
        <v>DROP TABLE IF EXISTS Merchant_StockOutHeader;</v>
      </c>
    </row>
    <row r="96" spans="1:3" s="41" customFormat="1" x14ac:dyDescent="0.2">
      <c r="A96" s="42" t="str">
        <f>"CREATE TABLE "&amp;$B$1&amp;"("</f>
        <v>CREATE TABLE Merchant_StockOutHeader(</v>
      </c>
    </row>
    <row r="97" spans="1:2" s="41" customFormat="1" x14ac:dyDescent="0.2">
      <c r="B97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98" spans="1:2" s="41" customFormat="1" x14ac:dyDescent="0.2">
      <c r="B98" s="41" t="e">
        <f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AUTO_INCREMENT","")&amp;IF(#REF!&lt;&gt;"",", ","")</f>
        <v>#REF!</v>
      </c>
    </row>
    <row r="99" spans="1:2" s="41" customFormat="1" x14ac:dyDescent="0.2">
      <c r="B99" s="41" t="e">
        <f>#REF!&amp;" "&amp;B6&amp;IF(AND(B6&lt;&gt;"int",B6&lt;&gt;"bigint",B6&lt;&gt;"bit",B6&lt;&gt;"float",B6&lt;&gt;"datetime",B6&lt;&gt;"smalldatetime",B6&lt;&gt;"timestamp",B6&lt;&gt;"xml"),"("&amp;C6&amp;") "," ")&amp;""&amp;IF(F6=FALSE,"NOT NULL","NULL")&amp;IF(G6&lt;&gt;""," DEFAULT ("&amp;G6&amp;")","")&amp;IF(H6=TRUE," AUTO_INCREMENT","")&amp;IF(A6&lt;&gt;"",", ","")</f>
        <v>#REF!</v>
      </c>
    </row>
    <row r="100" spans="1:2" s="41" customFormat="1" x14ac:dyDescent="0.2">
      <c r="B100" s="41" t="e">
        <f>A6&amp;"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AUTO_INCREMENT","")&amp;IF(#REF!&lt;&gt;"",", ","")</f>
        <v>#REF!</v>
      </c>
    </row>
    <row r="101" spans="1:2" s="41" customFormat="1" x14ac:dyDescent="0.2">
      <c r="B101" s="41" t="e">
        <f>#REF!&amp;" "&amp;B8&amp;IF(AND(B8&lt;&gt;"int",B8&lt;&gt;"bigint",B8&lt;&gt;"bit",B8&lt;&gt;"float",B8&lt;&gt;"datetime",B8&lt;&gt;"smalldatetime",B8&lt;&gt;"timestamp",B8&lt;&gt;"xml"),"("&amp;C8&amp;") "," ")&amp;""&amp;IF(F8=FALSE,"NOT NULL","NULL")&amp;IF(G8&lt;&gt;""," DEFAULT ("&amp;G8&amp;")","")&amp;IF(H8=TRUE," AUTO_INCREMENT","")&amp;IF(A9&lt;&gt;"",", ","")</f>
        <v>#REF!</v>
      </c>
    </row>
    <row r="102" spans="1:2" s="41" customFormat="1" x14ac:dyDescent="0.2">
      <c r="B102" s="41" t="e">
        <f>A9&amp;" "&amp;B9&amp;IF(AND(B9&lt;&gt;"int",B9&lt;&gt;"bigint",B9&lt;&gt;"bit",B9&lt;&gt;"float",B9&lt;&gt;"datetime",B9&lt;&gt;"smalldatetime",B9&lt;&gt;"timestamp",B9&lt;&gt;"xml"),"("&amp;C9&amp;") "," ")&amp;""&amp;IF(F9=FALSE,"NOT NULL","NULL")&amp;IF(G9&lt;&gt;""," DEFAULT ("&amp;G9&amp;")","")&amp;IF(H9=TRUE," AUTO_INCREMENT","")&amp;IF(#REF!&lt;&gt;"",", ","")</f>
        <v>#REF!</v>
      </c>
    </row>
    <row r="103" spans="1:2" s="41" customFormat="1" x14ac:dyDescent="0.2">
      <c r="B103" s="41" t="e">
        <f>#REF!&amp;" "&amp;B19&amp;IF(AND(B19&lt;&gt;"int",B19&lt;&gt;"bigint",B19&lt;&gt;"bit",B19&lt;&gt;"float",B19&lt;&gt;"datetime",B19&lt;&gt;"smalldatetime",B19&lt;&gt;"timestamp",B19&lt;&gt;"xml"),"("&amp;C19&amp;") "," ")&amp;""&amp;IF(F19=FALSE,"NOT NULL","NULL")&amp;IF(G19&lt;&gt;""," DEFAULT ("&amp;G19&amp;")","")&amp;IF(H19=TRUE," AUTO_INCREMENT","")&amp;IF(A7&lt;&gt;"",", ","")</f>
        <v>#REF!</v>
      </c>
    </row>
    <row r="104" spans="1:2" s="41" customFormat="1" x14ac:dyDescent="0.2">
      <c r="A104" s="41" t="s">
        <v>74</v>
      </c>
    </row>
    <row r="105" spans="1:2" s="41" customFormat="1" x14ac:dyDescent="0.2">
      <c r="B105" s="5" t="str">
        <f>IF(D4=TRUE, A4&amp;IF(D5="", "", ", "), "")</f>
        <v xml:space="preserve">id, </v>
      </c>
    </row>
    <row r="106" spans="1:2" s="41" customFormat="1" x14ac:dyDescent="0.2">
      <c r="B106" s="5" t="str">
        <f>IF(D5=TRUE, A5&amp;IF(D6="", "", ", "), "")</f>
        <v>ma_xuat_kho</v>
      </c>
    </row>
    <row r="107" spans="1:2" s="41" customFormat="1" x14ac:dyDescent="0.2">
      <c r="B107" s="5" t="str">
        <f>IF(D6=TRUE,#REF!&amp;IF( D8="", "", ", "), "")</f>
        <v/>
      </c>
    </row>
    <row r="108" spans="1:2" s="41" customFormat="1" x14ac:dyDescent="0.2">
      <c r="B108" s="41" t="s">
        <v>75</v>
      </c>
    </row>
    <row r="109" spans="1:2" s="41" customFormat="1" x14ac:dyDescent="0.2">
      <c r="A109" s="41" t="s">
        <v>73</v>
      </c>
    </row>
    <row r="110" spans="1:2" s="41" customFormat="1" x14ac:dyDescent="0.2"/>
    <row r="111" spans="1:2" s="41" customFormat="1" x14ac:dyDescent="0.2"/>
    <row r="112" spans="1:2" s="41" customFormat="1" x14ac:dyDescent="0.2"/>
    <row r="113" s="41" customFormat="1" x14ac:dyDescent="0.2"/>
  </sheetData>
  <mergeCells count="1">
    <mergeCell ref="A32:B32"/>
  </mergeCells>
  <hyperlinks>
    <hyperlink ref="D1" location="'Sheet List'!A1" display="back to list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3"/>
  <sheetViews>
    <sheetView topLeftCell="A58" workbookViewId="0">
      <selection activeCell="F80" sqref="F80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1" x14ac:dyDescent="0.2">
      <c r="A1" s="1" t="s">
        <v>8</v>
      </c>
      <c r="B1" s="1" t="s">
        <v>152</v>
      </c>
      <c r="D1" s="26" t="s">
        <v>18</v>
      </c>
    </row>
    <row r="3" spans="1:11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1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1" x14ac:dyDescent="0.2">
      <c r="A5" s="53" t="s">
        <v>154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1" x14ac:dyDescent="0.2">
      <c r="A6" s="22" t="s">
        <v>155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1" x14ac:dyDescent="0.2">
      <c r="A7" s="22" t="s">
        <v>26</v>
      </c>
      <c r="B7" s="23" t="s">
        <v>7</v>
      </c>
      <c r="C7" s="27">
        <v>20</v>
      </c>
      <c r="D7" s="23"/>
      <c r="E7" s="23"/>
      <c r="F7" s="23" t="b">
        <v>0</v>
      </c>
      <c r="G7" s="23"/>
      <c r="H7" s="23"/>
      <c r="I7" s="24"/>
      <c r="J7" s="25"/>
    </row>
    <row r="8" spans="1:11" x14ac:dyDescent="0.2">
      <c r="A8" s="22" t="s">
        <v>153</v>
      </c>
      <c r="B8" s="23" t="s">
        <v>20</v>
      </c>
      <c r="C8" s="27">
        <v>512</v>
      </c>
      <c r="D8" s="23"/>
      <c r="E8" s="23"/>
      <c r="F8" s="23" t="b">
        <v>0</v>
      </c>
      <c r="G8" s="23"/>
      <c r="H8" s="23"/>
      <c r="I8" s="24"/>
      <c r="J8" s="25"/>
    </row>
    <row r="9" spans="1:11" x14ac:dyDescent="0.2">
      <c r="A9" s="22" t="s">
        <v>161</v>
      </c>
      <c r="B9" s="23" t="s">
        <v>7</v>
      </c>
      <c r="C9" s="27">
        <v>128</v>
      </c>
      <c r="D9" s="23"/>
      <c r="E9" s="23"/>
      <c r="F9" s="23" t="b">
        <v>0</v>
      </c>
      <c r="G9" s="23"/>
      <c r="H9" s="23"/>
      <c r="I9" s="24"/>
      <c r="J9" s="25"/>
    </row>
    <row r="10" spans="1:11" x14ac:dyDescent="0.2">
      <c r="A10" s="22" t="s">
        <v>171</v>
      </c>
      <c r="B10" s="23" t="s">
        <v>7</v>
      </c>
      <c r="C10" s="27">
        <v>512</v>
      </c>
      <c r="D10" s="23"/>
      <c r="E10" s="23"/>
      <c r="F10" s="23" t="b">
        <v>0</v>
      </c>
      <c r="G10" s="23"/>
      <c r="H10" s="23"/>
      <c r="I10" s="24"/>
      <c r="J10" s="25"/>
    </row>
    <row r="11" spans="1:11" x14ac:dyDescent="0.2">
      <c r="A11" s="22" t="s">
        <v>159</v>
      </c>
      <c r="B11" s="23" t="s">
        <v>56</v>
      </c>
      <c r="C11" s="27"/>
      <c r="D11" s="23"/>
      <c r="E11" s="23"/>
      <c r="F11" s="23" t="b">
        <v>0</v>
      </c>
      <c r="G11" s="23"/>
      <c r="H11" s="23"/>
      <c r="I11" s="24"/>
      <c r="J11" s="25"/>
    </row>
    <row r="12" spans="1:11" x14ac:dyDescent="0.2">
      <c r="A12" s="22" t="s">
        <v>166</v>
      </c>
      <c r="B12" s="23" t="s">
        <v>9</v>
      </c>
      <c r="C12" s="27"/>
      <c r="D12" s="23"/>
      <c r="E12" s="23"/>
      <c r="F12" s="23" t="b">
        <v>0</v>
      </c>
      <c r="I12" t="s">
        <v>167</v>
      </c>
    </row>
    <row r="13" spans="1:11" x14ac:dyDescent="0.2">
      <c r="A13" s="22" t="s">
        <v>156</v>
      </c>
      <c r="B13" s="23" t="s">
        <v>20</v>
      </c>
      <c r="C13" s="27">
        <v>128</v>
      </c>
      <c r="D13" s="23"/>
      <c r="E13" s="23"/>
      <c r="F13" s="23" t="b">
        <v>0</v>
      </c>
      <c r="G13" s="23"/>
      <c r="H13" s="23"/>
      <c r="I13" s="24"/>
      <c r="K13" s="24"/>
    </row>
    <row r="14" spans="1:11" x14ac:dyDescent="0.2">
      <c r="A14" s="22" t="s">
        <v>157</v>
      </c>
      <c r="B14" s="23" t="s">
        <v>20</v>
      </c>
      <c r="C14" s="27">
        <v>128</v>
      </c>
      <c r="D14" s="23"/>
      <c r="E14" s="23"/>
      <c r="F14" s="23" t="b">
        <v>1</v>
      </c>
      <c r="G14" s="23"/>
      <c r="H14" s="23"/>
      <c r="I14" s="24"/>
      <c r="J14" s="25"/>
    </row>
    <row r="15" spans="1:11" x14ac:dyDescent="0.2">
      <c r="A15" s="22" t="s">
        <v>158</v>
      </c>
      <c r="B15" s="23" t="s">
        <v>20</v>
      </c>
      <c r="C15" s="27">
        <v>128</v>
      </c>
      <c r="D15" s="23"/>
      <c r="E15" s="23"/>
      <c r="F15" s="23" t="b">
        <v>1</v>
      </c>
      <c r="G15" s="23"/>
      <c r="H15" s="23"/>
      <c r="I15" s="24"/>
      <c r="J15" s="25"/>
    </row>
    <row r="16" spans="1:11" x14ac:dyDescent="0.2">
      <c r="A16" s="22" t="s">
        <v>160</v>
      </c>
      <c r="B16" s="23" t="s">
        <v>20</v>
      </c>
      <c r="C16" s="27">
        <v>4096</v>
      </c>
      <c r="D16" s="23"/>
      <c r="E16" s="23"/>
      <c r="F16" s="23" t="b">
        <v>1</v>
      </c>
      <c r="G16" s="23"/>
      <c r="H16" s="23"/>
      <c r="I16" s="24"/>
      <c r="J16" s="25"/>
    </row>
    <row r="17" spans="1:12" x14ac:dyDescent="0.2">
      <c r="A17" s="30" t="s">
        <v>51</v>
      </c>
      <c r="B17" s="23" t="s">
        <v>7</v>
      </c>
      <c r="C17" s="27">
        <v>32</v>
      </c>
      <c r="D17" s="23"/>
      <c r="E17" s="23"/>
      <c r="F17" s="23" t="b">
        <v>0</v>
      </c>
      <c r="G17" s="23"/>
      <c r="H17" s="23"/>
      <c r="I17" s="24"/>
      <c r="J17" s="25"/>
    </row>
    <row r="18" spans="1:12" x14ac:dyDescent="0.2">
      <c r="A18" s="22" t="s">
        <v>22</v>
      </c>
      <c r="B18" s="23" t="s">
        <v>20</v>
      </c>
      <c r="C18" s="27">
        <v>32</v>
      </c>
      <c r="D18" s="23"/>
      <c r="E18" s="23"/>
      <c r="F18" s="23" t="b">
        <v>0</v>
      </c>
      <c r="G18" s="23"/>
      <c r="H18" s="23"/>
      <c r="I18" s="24"/>
      <c r="J18" s="25"/>
    </row>
    <row r="19" spans="1:12" x14ac:dyDescent="0.2">
      <c r="A19" s="22" t="s">
        <v>21</v>
      </c>
      <c r="B19" s="23" t="s">
        <v>9</v>
      </c>
      <c r="C19" s="27"/>
      <c r="D19" s="23"/>
      <c r="E19" s="23"/>
      <c r="F19" s="23" t="b">
        <v>0</v>
      </c>
      <c r="G19" s="23"/>
      <c r="H19" s="23"/>
      <c r="I19" s="24"/>
      <c r="J19" s="25"/>
    </row>
    <row r="20" spans="1:12" x14ac:dyDescent="0.2">
      <c r="A20" s="22" t="s">
        <v>24</v>
      </c>
      <c r="B20" s="23" t="s">
        <v>20</v>
      </c>
      <c r="C20" s="27">
        <v>32</v>
      </c>
      <c r="D20" s="23"/>
      <c r="E20" s="23"/>
      <c r="F20" s="23" t="b">
        <v>1</v>
      </c>
      <c r="G20" s="23"/>
      <c r="H20" s="23"/>
      <c r="I20" s="24"/>
      <c r="J20" s="25"/>
    </row>
    <row r="21" spans="1:12" x14ac:dyDescent="0.2">
      <c r="A21" s="22" t="s">
        <v>23</v>
      </c>
      <c r="B21" s="23" t="s">
        <v>9</v>
      </c>
      <c r="C21" s="27"/>
      <c r="D21" s="23"/>
      <c r="E21" s="23"/>
      <c r="F21" s="23" t="b">
        <v>1</v>
      </c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B23" s="23"/>
      <c r="C23" s="27"/>
      <c r="D23" s="28"/>
      <c r="E23" s="28"/>
      <c r="F23" s="28"/>
      <c r="G23" s="28"/>
      <c r="H23" s="28"/>
      <c r="I23" s="31"/>
      <c r="J23" s="25"/>
    </row>
    <row r="24" spans="1:12" x14ac:dyDescent="0.2">
      <c r="B24" s="23"/>
      <c r="C24" s="27"/>
      <c r="D24" s="23"/>
      <c r="E24" s="23"/>
      <c r="F24" s="23"/>
      <c r="G24" s="23"/>
      <c r="H24" s="23"/>
      <c r="I24" s="24"/>
      <c r="J24" s="25"/>
    </row>
    <row r="25" spans="1:12" x14ac:dyDescent="0.2">
      <c r="A25" s="22"/>
      <c r="B25" s="23"/>
      <c r="C25" s="27"/>
      <c r="D25" s="23"/>
      <c r="E25" s="23"/>
      <c r="F25" s="23"/>
      <c r="G25" s="23"/>
      <c r="H25" s="23"/>
      <c r="I25" s="24"/>
      <c r="J25" s="25"/>
    </row>
    <row r="26" spans="1:12" x14ac:dyDescent="0.2">
      <c r="A26" s="22"/>
      <c r="B26" s="23"/>
      <c r="C26" s="27"/>
      <c r="D26" s="23"/>
      <c r="E26" s="23"/>
      <c r="F26" s="23"/>
      <c r="G26" s="23"/>
      <c r="H26" s="23"/>
      <c r="I26" s="24"/>
      <c r="J26" s="25"/>
    </row>
    <row r="27" spans="1:12" x14ac:dyDescent="0.2">
      <c r="A27" s="22"/>
      <c r="B27" s="23"/>
      <c r="C27" s="27"/>
      <c r="D27" s="23"/>
      <c r="E27" s="23"/>
      <c r="F27" s="23"/>
      <c r="G27" s="23"/>
      <c r="H27" s="23"/>
      <c r="I27" s="24"/>
      <c r="J27" s="25"/>
    </row>
    <row r="28" spans="1:12" x14ac:dyDescent="0.2">
      <c r="A28" s="22"/>
      <c r="B28" s="23"/>
      <c r="C28" s="27"/>
      <c r="D28" s="23"/>
      <c r="E28" s="23"/>
      <c r="F28" s="23"/>
      <c r="G28" s="23"/>
      <c r="H28" s="23"/>
      <c r="I28" s="24"/>
      <c r="J28" s="25"/>
    </row>
    <row r="29" spans="1:12" x14ac:dyDescent="0.2">
      <c r="A29" s="22"/>
      <c r="B29" s="23"/>
      <c r="C29" s="27"/>
      <c r="D29" s="23"/>
      <c r="E29" s="23"/>
      <c r="F29" s="23"/>
      <c r="G29" s="23"/>
      <c r="H29" s="23"/>
      <c r="I29" s="24"/>
      <c r="J29" s="25"/>
    </row>
    <row r="30" spans="1:12" x14ac:dyDescent="0.2">
      <c r="A30" s="22"/>
      <c r="B30" s="23"/>
      <c r="C30" s="27"/>
      <c r="D30" s="23"/>
      <c r="E30" s="23"/>
      <c r="F30" s="23"/>
      <c r="G30" s="23"/>
      <c r="H30" s="23"/>
      <c r="I30" s="24"/>
      <c r="J30" s="25"/>
    </row>
    <row r="31" spans="1:12" ht="13.5" thickBot="1" x14ac:dyDescent="0.25"/>
    <row r="32" spans="1:12" ht="13.5" thickBot="1" x14ac:dyDescent="0.25">
      <c r="A32" s="60" t="s">
        <v>10</v>
      </c>
      <c r="B32" s="61"/>
      <c r="C32" s="16"/>
      <c r="D32" s="17"/>
      <c r="E32" s="17"/>
      <c r="F32" s="18"/>
      <c r="G32" s="18"/>
      <c r="H32" s="18"/>
      <c r="I32" s="18"/>
      <c r="J32" s="18"/>
      <c r="K32" s="18"/>
      <c r="L32" s="18"/>
    </row>
    <row r="33" spans="1:12" x14ac:dyDescent="0.2">
      <c r="A33" s="5"/>
      <c r="B33" s="5"/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5" t="str">
        <f>"if exists (select * from dbo.sysobjects where id = object_id(N'[dbo].["&amp;$B$1&amp;"]') and OBJECTPROPERTY(id, N'IsUserTable') = 1)"</f>
        <v>if exists (select * from dbo.sysobjects where id = object_id(N'[dbo].[Merchant_StockInHeader]') and OBJECTPROPERTY(id, N'IsUserTable') = 1)</v>
      </c>
      <c r="B34" s="5"/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9" t="str">
        <f>"drop table [dbo].["&amp;$B$1&amp;"]"</f>
        <v>drop table [dbo].[Merchant_StockInHeader]</v>
      </c>
      <c r="B35" s="5"/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9" t="s">
        <v>11</v>
      </c>
      <c r="B36" s="5"/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9"/>
      <c r="B37" s="5"/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 t="str">
        <f>"CREATE TABLE [dbo].["&amp;$B$1&amp;"] ("</f>
        <v>CREATE TABLE [dbo].[Merchant_StockInHeader] (</v>
      </c>
      <c r="B38" s="5"/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ref="B40:B56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[ma_nhap_kho] [varchar] (20) NOT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[ma_kho] [varchar] (20) NOT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[ma_gian_hang] [varchar] (20)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[dia_diem] [nvarchar] (512)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 xml:space="preserve">[ma_phieu_nhap_kho] [varchar] (128) NOT NULL, 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10"/>
      <c r="B45" s="5" t="str">
        <f t="shared" si="0"/>
        <v xml:space="preserve">[ma_chung_tu] [varchar] (512) NOT NULL, </v>
      </c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10"/>
      <c r="B46" s="5" t="str">
        <f t="shared" si="0"/>
        <v xml:space="preserve">[tong_so_tien] [float] NOT NULL, </v>
      </c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10"/>
      <c r="B47" s="5" t="str">
        <f t="shared" si="0"/>
        <v xml:space="preserve">[ngay_nhap_kho] [datetime] NOT NULL, </v>
      </c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10"/>
      <c r="B48" s="5" t="str">
        <f t="shared" si="0"/>
        <v xml:space="preserve">[nguoi_giao] [nvarchar] (128) NOT NULL, </v>
      </c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10"/>
      <c r="B49" s="5" t="str">
        <f t="shared" si="0"/>
        <v xml:space="preserve">[nguoi_kiem_tra] [nvarchar] (128) NULL, 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10"/>
      <c r="B50" s="5" t="str">
        <f t="shared" si="0"/>
        <v xml:space="preserve">[thu_kho] [nvarchar] (128) NULL, 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10"/>
      <c r="B51" s="5" t="str">
        <f t="shared" si="0"/>
        <v xml:space="preserve">[ghi_chu] [nvarchar] (4096) NULL, </v>
      </c>
      <c r="C51" s="5"/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10"/>
      <c r="B52" s="5" t="str">
        <f t="shared" si="0"/>
        <v xml:space="preserve">[trang_thai] [varchar] (32) NOT NULL, </v>
      </c>
      <c r="C52" s="5"/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10"/>
      <c r="B53" s="5" t="str">
        <f t="shared" si="0"/>
        <v xml:space="preserve">[nguoi_tao] [nvarchar] (32) NOT NULL, </v>
      </c>
      <c r="C53" s="5"/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10"/>
      <c r="B54" s="5" t="str">
        <f t="shared" si="0"/>
        <v xml:space="preserve">[ngay_tao] [datetime] NOT NULL, 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x14ac:dyDescent="0.2">
      <c r="A55" s="10"/>
      <c r="B55" s="5" t="str">
        <f t="shared" si="0"/>
        <v xml:space="preserve">[nguoi_cap_nhat] [nvarchar] (32) NULL, </v>
      </c>
      <c r="C55" s="5"/>
      <c r="D55" s="5"/>
      <c r="E55" s="5"/>
      <c r="F55" s="6"/>
      <c r="G55" s="5"/>
      <c r="H55" s="5"/>
      <c r="I55" s="7"/>
      <c r="J55" s="7"/>
      <c r="K55" s="5"/>
      <c r="L55" s="8"/>
    </row>
    <row r="56" spans="1:12" x14ac:dyDescent="0.2">
      <c r="A56" s="10"/>
      <c r="B56" s="5" t="str">
        <f t="shared" si="0"/>
        <v>[ngay_cap_nhat] [datetime] NULL</v>
      </c>
      <c r="C56" s="5"/>
      <c r="D56" s="5"/>
      <c r="E56" s="5"/>
      <c r="F56" s="6"/>
      <c r="G56" s="5"/>
      <c r="H56" s="5"/>
      <c r="I56" s="7"/>
      <c r="J56" s="7"/>
      <c r="K56" s="5"/>
      <c r="L56" s="8"/>
    </row>
    <row r="57" spans="1:12" x14ac:dyDescent="0.2">
      <c r="A57" s="9" t="s">
        <v>12</v>
      </c>
      <c r="B57" s="5"/>
      <c r="C57" s="5"/>
      <c r="D57" s="5"/>
      <c r="E57" s="5"/>
      <c r="F57" s="6"/>
      <c r="G57" s="5"/>
      <c r="H57" s="5"/>
      <c r="I57" s="7"/>
      <c r="J57" s="7"/>
      <c r="K57" s="5"/>
      <c r="L57" s="8"/>
    </row>
    <row r="58" spans="1:12" x14ac:dyDescent="0.2">
      <c r="A58" s="9" t="s">
        <v>11</v>
      </c>
      <c r="B58" s="5"/>
      <c r="C58" s="5"/>
      <c r="D58" s="5"/>
      <c r="E58" s="5"/>
      <c r="F58" s="6"/>
      <c r="G58" s="5"/>
      <c r="H58" s="5"/>
      <c r="I58" s="7"/>
      <c r="J58" s="7"/>
      <c r="K58" s="5"/>
      <c r="L58" s="8"/>
    </row>
    <row r="59" spans="1:12" x14ac:dyDescent="0.2">
      <c r="A59" s="9"/>
      <c r="B59" s="5"/>
      <c r="C59" s="5"/>
      <c r="D59" s="5"/>
      <c r="E59" s="5"/>
      <c r="F59" s="6"/>
      <c r="G59" s="5"/>
      <c r="H59" s="5"/>
      <c r="I59" s="7"/>
      <c r="J59" s="7"/>
      <c r="K59" s="5"/>
      <c r="L59" s="8"/>
    </row>
    <row r="60" spans="1:12" x14ac:dyDescent="0.2">
      <c r="A60" s="9" t="str">
        <f>"ALTER TABLE [dbo].["&amp;$B$1&amp;"] ADD"</f>
        <v>ALTER TABLE [dbo].[Merchant_StockInHeader] ADD</v>
      </c>
      <c r="B60" s="5"/>
      <c r="C60" s="5"/>
      <c r="D60" s="5"/>
      <c r="E60" s="5"/>
      <c r="F60" s="6"/>
      <c r="G60" s="5"/>
      <c r="H60" s="5"/>
      <c r="I60" s="7"/>
      <c r="J60" s="7"/>
      <c r="K60" s="5"/>
      <c r="L60" s="8"/>
    </row>
    <row r="61" spans="1:12" x14ac:dyDescent="0.2">
      <c r="A61" s="9"/>
      <c r="B61" s="5" t="str">
        <f>"CONSTRAINT [PK_"&amp;$B$1&amp;"] PRIMARY KEY  CLUSTERED"</f>
        <v>CONSTRAINT [PK_Merchant_StockInHeader] PRIMARY KEY  CLUSTERED</v>
      </c>
      <c r="C61" s="5"/>
      <c r="D61" s="5"/>
      <c r="E61" s="5"/>
      <c r="F61" s="6"/>
      <c r="G61" s="5"/>
      <c r="H61" s="5"/>
      <c r="I61" s="7"/>
      <c r="J61" s="7"/>
      <c r="K61" s="5"/>
      <c r="L61" s="8"/>
    </row>
    <row r="62" spans="1:12" x14ac:dyDescent="0.2">
      <c r="A62" s="9"/>
      <c r="B62" s="5" t="s">
        <v>13</v>
      </c>
      <c r="C62" s="5"/>
      <c r="D62" s="5"/>
      <c r="E62" s="5"/>
      <c r="F62" s="6"/>
      <c r="G62" s="5"/>
      <c r="H62" s="5"/>
      <c r="I62" s="7"/>
      <c r="J62" s="7"/>
      <c r="K62" s="5"/>
      <c r="L62" s="8"/>
    </row>
    <row r="63" spans="1:12" x14ac:dyDescent="0.2">
      <c r="A63" s="9"/>
      <c r="B63" s="5"/>
      <c r="C63" s="5" t="str">
        <f>IF(D4=TRUE, "["&amp;A4&amp;"]"&amp;IF(D5="", "", ", "), "")</f>
        <v xml:space="preserve">[id], </v>
      </c>
      <c r="D63" s="5"/>
      <c r="E63" s="5"/>
      <c r="F63" s="6"/>
      <c r="G63" s="5"/>
      <c r="H63" s="5"/>
      <c r="I63" s="7"/>
      <c r="J63" s="7"/>
      <c r="K63" s="5"/>
      <c r="L63" s="8"/>
    </row>
    <row r="64" spans="1:12" x14ac:dyDescent="0.2">
      <c r="A64" s="9"/>
      <c r="B64" s="5"/>
      <c r="C64" s="5" t="str">
        <f>IF(D5=TRUE, "["&amp;A5&amp;"]"&amp;IF(D6="", "", ", "), "")</f>
        <v>[ma_nhap_kho]</v>
      </c>
      <c r="D64" s="5"/>
      <c r="E64" s="5"/>
      <c r="F64" s="6"/>
      <c r="G64" s="5"/>
      <c r="H64" s="5"/>
      <c r="I64" s="7"/>
      <c r="J64" s="7"/>
      <c r="K64" s="5"/>
      <c r="L64" s="8"/>
    </row>
    <row r="65" spans="1:12" x14ac:dyDescent="0.2">
      <c r="A65" s="9"/>
      <c r="B65" s="5"/>
      <c r="C65" s="5" t="str">
        <f>IF(D6=TRUE, "["&amp;#REF!&amp;"]"&amp;IF(D8="", "", ", "), "")</f>
        <v/>
      </c>
      <c r="D65" s="5"/>
      <c r="E65" s="5"/>
      <c r="F65" s="6"/>
      <c r="G65" s="5"/>
      <c r="H65" s="5"/>
      <c r="I65" s="7"/>
      <c r="J65" s="7"/>
      <c r="K65" s="5"/>
      <c r="L65" s="8"/>
    </row>
    <row r="66" spans="1:12" x14ac:dyDescent="0.2">
      <c r="A66" s="9"/>
      <c r="B66" s="5" t="s">
        <v>14</v>
      </c>
      <c r="C66" s="5"/>
      <c r="D66" s="5"/>
      <c r="E66" s="5"/>
      <c r="F66" s="6"/>
      <c r="G66" s="5"/>
      <c r="H66" s="5"/>
      <c r="I66" s="7"/>
      <c r="J66" s="7"/>
      <c r="K66" s="5"/>
      <c r="L66" s="8"/>
    </row>
    <row r="67" spans="1:12" ht="13.5" thickBot="1" x14ac:dyDescent="0.25">
      <c r="A67" s="11" t="s">
        <v>11</v>
      </c>
      <c r="B67" s="12"/>
      <c r="C67" s="12"/>
      <c r="D67" s="12"/>
      <c r="E67" s="12"/>
      <c r="F67" s="13"/>
      <c r="G67" s="12"/>
      <c r="H67" s="12"/>
      <c r="I67" s="14"/>
      <c r="J67" s="14"/>
      <c r="K67" s="12"/>
      <c r="L67" s="15"/>
    </row>
    <row r="68" spans="1:12" x14ac:dyDescent="0.2">
      <c r="A68" s="2"/>
      <c r="B68" s="2"/>
      <c r="C68" s="2"/>
      <c r="D68" s="2"/>
      <c r="E68" s="2"/>
      <c r="F68" s="3"/>
      <c r="G68" s="2"/>
      <c r="H68" s="2"/>
      <c r="I68" s="4"/>
      <c r="J68" s="4"/>
      <c r="K68" s="2"/>
      <c r="L68" s="2"/>
    </row>
    <row r="69" spans="1:12" x14ac:dyDescent="0.2">
      <c r="C69" t="s">
        <v>44</v>
      </c>
    </row>
    <row r="70" spans="1:12" x14ac:dyDescent="0.2">
      <c r="A70" s="37" t="s">
        <v>45</v>
      </c>
      <c r="B70" s="37" t="str">
        <f>B1</f>
        <v>Merchant_StockInHeader</v>
      </c>
      <c r="C70" s="37"/>
    </row>
    <row r="71" spans="1:12" x14ac:dyDescent="0.2">
      <c r="A71" s="37" t="s">
        <v>46</v>
      </c>
      <c r="B71" s="37"/>
      <c r="C71" s="37"/>
    </row>
    <row r="72" spans="1:12" x14ac:dyDescent="0.2">
      <c r="A72" s="37"/>
      <c r="B72" s="37" t="s">
        <v>47</v>
      </c>
      <c r="C72" s="37"/>
    </row>
    <row r="73" spans="1:12" x14ac:dyDescent="0.2">
      <c r="A73" s="37"/>
      <c r="B73" s="37" t="s">
        <v>48</v>
      </c>
      <c r="C73" s="37"/>
    </row>
    <row r="74" spans="1:12" x14ac:dyDescent="0.2">
      <c r="A74" s="37" t="s">
        <v>49</v>
      </c>
      <c r="B74" s="37" t="str">
        <f>IF(OR($B4="nvarchar",$B4="varchar"),"string",IF($B4="datetime","DateTime",$B4))</f>
        <v>int</v>
      </c>
      <c r="C74" s="37" t="str">
        <f>A4&amp;" "&amp;$C$69</f>
        <v>id  { get; set; }</v>
      </c>
    </row>
    <row r="75" spans="1:12" x14ac:dyDescent="0.2">
      <c r="A75" s="37" t="s">
        <v>49</v>
      </c>
      <c r="B75" s="37" t="str">
        <f t="shared" ref="B75:B91" si="1">IF(OR($B5="nvarchar",$B5="varchar"),"string",IF($B5="datetime","DateTime",$B5))</f>
        <v>string</v>
      </c>
      <c r="C75" s="37" t="str">
        <f t="shared" ref="C75:C91" si="2">A5&amp;" "&amp;$C$69</f>
        <v>ma_nhap_kho  { get; set; }</v>
      </c>
    </row>
    <row r="76" spans="1:12" x14ac:dyDescent="0.2">
      <c r="A76" s="37" t="s">
        <v>49</v>
      </c>
      <c r="B76" s="37" t="str">
        <f t="shared" si="1"/>
        <v>string</v>
      </c>
      <c r="C76" s="37" t="str">
        <f t="shared" si="2"/>
        <v>ma_kho  { get; set; }</v>
      </c>
    </row>
    <row r="77" spans="1:12" x14ac:dyDescent="0.2">
      <c r="A77" s="37" t="s">
        <v>49</v>
      </c>
      <c r="B77" s="37" t="str">
        <f t="shared" si="1"/>
        <v>string</v>
      </c>
      <c r="C77" s="37" t="str">
        <f t="shared" si="2"/>
        <v>ma_gian_hang  { get; set; }</v>
      </c>
    </row>
    <row r="78" spans="1:12" x14ac:dyDescent="0.2">
      <c r="A78" s="37" t="s">
        <v>49</v>
      </c>
      <c r="B78" s="37" t="str">
        <f t="shared" si="1"/>
        <v>string</v>
      </c>
      <c r="C78" s="37" t="str">
        <f t="shared" si="2"/>
        <v>dia_diem  { get; set; }</v>
      </c>
    </row>
    <row r="79" spans="1:12" x14ac:dyDescent="0.2">
      <c r="A79" s="37" t="s">
        <v>49</v>
      </c>
      <c r="B79" s="37" t="str">
        <f t="shared" si="1"/>
        <v>string</v>
      </c>
      <c r="C79" s="37" t="str">
        <f t="shared" si="2"/>
        <v>ma_phieu_nhap_kho  { get; set; }</v>
      </c>
    </row>
    <row r="80" spans="1:12" x14ac:dyDescent="0.2">
      <c r="A80" s="37" t="s">
        <v>49</v>
      </c>
      <c r="B80" s="37" t="str">
        <f t="shared" si="1"/>
        <v>string</v>
      </c>
      <c r="C80" s="37" t="str">
        <f t="shared" si="2"/>
        <v>ma_chung_tu  { get; set; }</v>
      </c>
    </row>
    <row r="81" spans="1:3" x14ac:dyDescent="0.2">
      <c r="A81" s="37" t="s">
        <v>49</v>
      </c>
      <c r="B81" s="37" t="str">
        <f t="shared" si="1"/>
        <v>float</v>
      </c>
      <c r="C81" s="37" t="str">
        <f t="shared" si="2"/>
        <v>tong_so_tien  { get; set; }</v>
      </c>
    </row>
    <row r="82" spans="1:3" x14ac:dyDescent="0.2">
      <c r="A82" s="37" t="s">
        <v>49</v>
      </c>
      <c r="B82" s="37" t="str">
        <f t="shared" si="1"/>
        <v>DateTime</v>
      </c>
      <c r="C82" s="37" t="str">
        <f t="shared" si="2"/>
        <v>ngay_nhap_kho  { get; set; }</v>
      </c>
    </row>
    <row r="83" spans="1:3" x14ac:dyDescent="0.2">
      <c r="A83" s="37" t="s">
        <v>49</v>
      </c>
      <c r="B83" s="37" t="str">
        <f t="shared" si="1"/>
        <v>string</v>
      </c>
      <c r="C83" s="37" t="str">
        <f t="shared" si="2"/>
        <v>nguoi_giao  { get; set; }</v>
      </c>
    </row>
    <row r="84" spans="1:3" x14ac:dyDescent="0.2">
      <c r="A84" s="37" t="s">
        <v>49</v>
      </c>
      <c r="B84" s="37" t="str">
        <f t="shared" si="1"/>
        <v>string</v>
      </c>
      <c r="C84" s="37" t="str">
        <f t="shared" si="2"/>
        <v>nguoi_kiem_tra  { get; set; }</v>
      </c>
    </row>
    <row r="85" spans="1:3" x14ac:dyDescent="0.2">
      <c r="A85" s="37" t="s">
        <v>49</v>
      </c>
      <c r="B85" s="37" t="str">
        <f t="shared" si="1"/>
        <v>string</v>
      </c>
      <c r="C85" s="37" t="str">
        <f t="shared" si="2"/>
        <v>thu_kho  { get; set; }</v>
      </c>
    </row>
    <row r="86" spans="1:3" x14ac:dyDescent="0.2">
      <c r="A86" s="37" t="s">
        <v>49</v>
      </c>
      <c r="B86" s="37" t="str">
        <f t="shared" si="1"/>
        <v>string</v>
      </c>
      <c r="C86" s="37" t="str">
        <f t="shared" si="2"/>
        <v>ghi_chu  { get; set; }</v>
      </c>
    </row>
    <row r="87" spans="1:3" x14ac:dyDescent="0.2">
      <c r="A87" s="37" t="s">
        <v>49</v>
      </c>
      <c r="B87" s="37" t="str">
        <f t="shared" si="1"/>
        <v>string</v>
      </c>
      <c r="C87" s="37" t="str">
        <f t="shared" si="2"/>
        <v>trang_thai  { get; set; }</v>
      </c>
    </row>
    <row r="88" spans="1:3" x14ac:dyDescent="0.2">
      <c r="A88" s="37" t="s">
        <v>49</v>
      </c>
      <c r="B88" s="37" t="str">
        <f t="shared" si="1"/>
        <v>string</v>
      </c>
      <c r="C88" s="37" t="str">
        <f t="shared" si="2"/>
        <v>nguoi_tao  { get; set; }</v>
      </c>
    </row>
    <row r="89" spans="1:3" x14ac:dyDescent="0.2">
      <c r="A89" s="37" t="s">
        <v>49</v>
      </c>
      <c r="B89" s="37" t="str">
        <f t="shared" si="1"/>
        <v>DateTime</v>
      </c>
      <c r="C89" s="37" t="str">
        <f t="shared" si="2"/>
        <v>ngay_tao  { get; set; }</v>
      </c>
    </row>
    <row r="90" spans="1:3" x14ac:dyDescent="0.2">
      <c r="A90" s="37" t="s">
        <v>49</v>
      </c>
      <c r="B90" s="37" t="str">
        <f t="shared" si="1"/>
        <v>string</v>
      </c>
      <c r="C90" s="37" t="str">
        <f t="shared" si="2"/>
        <v>nguoi_cap_nhat  { get; set; }</v>
      </c>
    </row>
    <row r="91" spans="1:3" x14ac:dyDescent="0.2">
      <c r="A91" s="37" t="s">
        <v>49</v>
      </c>
      <c r="B91" s="37" t="str">
        <f t="shared" si="1"/>
        <v>DateTime</v>
      </c>
      <c r="C91" s="37" t="str">
        <f t="shared" si="2"/>
        <v>ngay_cap_nhat  { get; set; }</v>
      </c>
    </row>
    <row r="92" spans="1:3" x14ac:dyDescent="0.2">
      <c r="A92" s="37" t="s">
        <v>50</v>
      </c>
      <c r="B92" s="37"/>
      <c r="C92" s="37" t="str">
        <f>IF($B32="nvarchar","("&amp;$C$5&amp;")",IF($B32="varchar","("&amp;$C32&amp;")",""))</f>
        <v/>
      </c>
    </row>
    <row r="94" spans="1:3" x14ac:dyDescent="0.2">
      <c r="A94" s="37" t="s">
        <v>72</v>
      </c>
    </row>
    <row r="95" spans="1:3" s="41" customFormat="1" x14ac:dyDescent="0.2">
      <c r="A95" s="40" t="str">
        <f>"DROP TABLE IF EXISTS "&amp;$B$1&amp;";"</f>
        <v>DROP TABLE IF EXISTS Merchant_StockInHeader;</v>
      </c>
    </row>
    <row r="96" spans="1:3" s="41" customFormat="1" x14ac:dyDescent="0.2">
      <c r="A96" s="42" t="str">
        <f>"CREATE TABLE "&amp;$B$1&amp;"("</f>
        <v>CREATE TABLE Merchant_StockInHeader(</v>
      </c>
    </row>
    <row r="97" spans="1:2" s="41" customFormat="1" x14ac:dyDescent="0.2">
      <c r="B97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98" spans="1:2" s="41" customFormat="1" x14ac:dyDescent="0.2">
      <c r="B98" s="41" t="e">
        <f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AUTO_INCREMENT","")&amp;IF(#REF!&lt;&gt;"",", ","")</f>
        <v>#REF!</v>
      </c>
    </row>
    <row r="99" spans="1:2" s="41" customFormat="1" x14ac:dyDescent="0.2">
      <c r="B99" s="41" t="e">
        <f>#REF!&amp;" "&amp;B6&amp;IF(AND(B6&lt;&gt;"int",B6&lt;&gt;"bigint",B6&lt;&gt;"bit",B6&lt;&gt;"float",B6&lt;&gt;"datetime",B6&lt;&gt;"smalldatetime",B6&lt;&gt;"timestamp",B6&lt;&gt;"xml"),"("&amp;C6&amp;") "," ")&amp;""&amp;IF(F6=FALSE,"NOT NULL","NULL")&amp;IF(G6&lt;&gt;""," DEFAULT ("&amp;G6&amp;")","")&amp;IF(H6=TRUE," AUTO_INCREMENT","")&amp;IF(A6&lt;&gt;"",", ","")</f>
        <v>#REF!</v>
      </c>
    </row>
    <row r="100" spans="1:2" s="41" customFormat="1" x14ac:dyDescent="0.2">
      <c r="B100" s="41" t="e">
        <f>A6&amp;"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NULL","NULL")&amp;IF(#REF!&lt;&gt;""," DEFAULT ("&amp;#REF!&amp;")","")&amp;IF(#REF!=TRUE," AUTO_INCREMENT","")&amp;IF(#REF!&lt;&gt;"",", ","")</f>
        <v>#REF!</v>
      </c>
    </row>
    <row r="101" spans="1:2" s="41" customFormat="1" x14ac:dyDescent="0.2">
      <c r="B101" s="41" t="e">
        <f>#REF!&amp;" "&amp;B8&amp;IF(AND(B8&lt;&gt;"int",B8&lt;&gt;"bigint",B8&lt;&gt;"bit",B8&lt;&gt;"float",B8&lt;&gt;"datetime",B8&lt;&gt;"smalldatetime",B8&lt;&gt;"timestamp",B8&lt;&gt;"xml"),"("&amp;C8&amp;") "," ")&amp;""&amp;IF(F8=FALSE,"NOT NULL","NULL")&amp;IF(G8&lt;&gt;""," DEFAULT ("&amp;G8&amp;")","")&amp;IF(H8=TRUE," AUTO_INCREMENT","")&amp;IF(A9&lt;&gt;"",", ","")</f>
        <v>#REF!</v>
      </c>
    </row>
    <row r="102" spans="1:2" s="41" customFormat="1" x14ac:dyDescent="0.2">
      <c r="B102" s="41" t="e">
        <f>A9&amp;" "&amp;B9&amp;IF(AND(B9&lt;&gt;"int",B9&lt;&gt;"bigint",B9&lt;&gt;"bit",B9&lt;&gt;"float",B9&lt;&gt;"datetime",B9&lt;&gt;"smalldatetime",B9&lt;&gt;"timestamp",B9&lt;&gt;"xml"),"("&amp;C9&amp;") "," ")&amp;""&amp;IF(F9=FALSE,"NOT NULL","NULL")&amp;IF(G9&lt;&gt;""," DEFAULT ("&amp;G9&amp;")","")&amp;IF(H9=TRUE," AUTO_INCREMENT","")&amp;IF(#REF!&lt;&gt;"",", ","")</f>
        <v>#REF!</v>
      </c>
    </row>
    <row r="103" spans="1:2" s="41" customFormat="1" x14ac:dyDescent="0.2">
      <c r="B103" s="41" t="e">
        <f>#REF!&amp;" "&amp;B19&amp;IF(AND(B19&lt;&gt;"int",B19&lt;&gt;"bigint",B19&lt;&gt;"bit",B19&lt;&gt;"float",B19&lt;&gt;"datetime",B19&lt;&gt;"smalldatetime",B19&lt;&gt;"timestamp",B19&lt;&gt;"xml"),"("&amp;C19&amp;") "," ")&amp;""&amp;IF(F19=FALSE,"NOT NULL","NULL")&amp;IF(G19&lt;&gt;""," DEFAULT ("&amp;G19&amp;")","")&amp;IF(H19=TRUE," AUTO_INCREMENT","")&amp;IF(A7&lt;&gt;"",", ","")</f>
        <v>#REF!</v>
      </c>
    </row>
    <row r="104" spans="1:2" s="41" customFormat="1" x14ac:dyDescent="0.2">
      <c r="A104" s="41" t="s">
        <v>74</v>
      </c>
    </row>
    <row r="105" spans="1:2" s="41" customFormat="1" x14ac:dyDescent="0.2">
      <c r="B105" s="5" t="str">
        <f>IF(D4=TRUE, A4&amp;IF(D5="", "", ", "), "")</f>
        <v xml:space="preserve">id, </v>
      </c>
    </row>
    <row r="106" spans="1:2" s="41" customFormat="1" x14ac:dyDescent="0.2">
      <c r="B106" s="5" t="str">
        <f>IF(D5=TRUE, A5&amp;IF(D6="", "", ", "), "")</f>
        <v>ma_nhap_kho</v>
      </c>
    </row>
    <row r="107" spans="1:2" s="41" customFormat="1" x14ac:dyDescent="0.2">
      <c r="B107" s="5" t="str">
        <f>IF(D6=TRUE,#REF!&amp;IF( D8="", "", ", "), "")</f>
        <v/>
      </c>
    </row>
    <row r="108" spans="1:2" s="41" customFormat="1" x14ac:dyDescent="0.2">
      <c r="B108" s="41" t="s">
        <v>75</v>
      </c>
    </row>
    <row r="109" spans="1:2" s="41" customFormat="1" x14ac:dyDescent="0.2">
      <c r="A109" s="41" t="s">
        <v>73</v>
      </c>
    </row>
    <row r="110" spans="1:2" s="41" customFormat="1" x14ac:dyDescent="0.2"/>
    <row r="111" spans="1:2" s="41" customFormat="1" x14ac:dyDescent="0.2"/>
    <row r="112" spans="1:2" s="41" customFormat="1" x14ac:dyDescent="0.2"/>
    <row r="113" s="41" customFormat="1" x14ac:dyDescent="0.2"/>
  </sheetData>
  <mergeCells count="1">
    <mergeCell ref="A32:B32"/>
  </mergeCells>
  <hyperlinks>
    <hyperlink ref="D1" location="'Sheet List'!A1" display="back to list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topLeftCell="A73" workbookViewId="0">
      <selection activeCell="B62" sqref="A62:C74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181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53" t="s">
        <v>173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52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172</v>
      </c>
      <c r="B7" s="23" t="s">
        <v>7</v>
      </c>
      <c r="C7" s="27">
        <v>50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162</v>
      </c>
      <c r="B8" s="23" t="s">
        <v>7</v>
      </c>
      <c r="C8" s="27">
        <v>128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163</v>
      </c>
      <c r="B9" s="23" t="s">
        <v>19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22" t="s">
        <v>178</v>
      </c>
      <c r="B10" s="23" t="s">
        <v>19</v>
      </c>
      <c r="C10" s="27"/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60</v>
      </c>
      <c r="B11" s="23" t="s">
        <v>56</v>
      </c>
      <c r="C11" s="27"/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22" t="s">
        <v>164</v>
      </c>
      <c r="B12" s="23" t="s">
        <v>56</v>
      </c>
      <c r="C12" s="27"/>
      <c r="D12" s="23"/>
      <c r="E12" s="23"/>
      <c r="F12" s="23" t="b">
        <v>0</v>
      </c>
      <c r="G12" s="23"/>
      <c r="H12" s="23"/>
      <c r="I12" s="24"/>
      <c r="J12" s="25"/>
    </row>
    <row r="13" spans="1:10" x14ac:dyDescent="0.2">
      <c r="A13" s="22" t="s">
        <v>160</v>
      </c>
      <c r="B13" s="23" t="s">
        <v>20</v>
      </c>
      <c r="C13" s="27">
        <v>4096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30" t="s">
        <v>51</v>
      </c>
      <c r="B14" s="23" t="s">
        <v>7</v>
      </c>
      <c r="C14" s="27">
        <v>32</v>
      </c>
      <c r="D14" s="23"/>
      <c r="E14" s="23"/>
      <c r="F14" s="23" t="b">
        <v>0</v>
      </c>
      <c r="G14" s="23"/>
      <c r="H14" s="23"/>
      <c r="I14" s="24"/>
      <c r="J14" s="25"/>
    </row>
    <row r="15" spans="1:10" x14ac:dyDescent="0.2">
      <c r="A15" s="22" t="s">
        <v>22</v>
      </c>
      <c r="B15" s="23" t="s">
        <v>20</v>
      </c>
      <c r="C15" s="27">
        <v>128</v>
      </c>
      <c r="D15" s="23"/>
      <c r="E15" s="23"/>
      <c r="F15" s="23" t="b">
        <v>0</v>
      </c>
      <c r="G15" s="23"/>
      <c r="H15" s="23"/>
      <c r="I15" s="24"/>
      <c r="J15" s="25"/>
    </row>
    <row r="16" spans="1:10" x14ac:dyDescent="0.2">
      <c r="A16" s="22" t="s">
        <v>21</v>
      </c>
      <c r="B16" s="23" t="s">
        <v>9</v>
      </c>
      <c r="C16" s="27"/>
      <c r="D16" s="23"/>
      <c r="E16" s="23"/>
      <c r="F16" s="23" t="b">
        <v>0</v>
      </c>
      <c r="G16" s="23"/>
      <c r="H16" s="23"/>
      <c r="I16" s="24"/>
      <c r="J16" s="25"/>
    </row>
    <row r="17" spans="1:12" x14ac:dyDescent="0.2">
      <c r="A17" s="22"/>
      <c r="B17" s="23"/>
      <c r="C17" s="27"/>
      <c r="D17" s="23"/>
      <c r="E17" s="23"/>
      <c r="F17" s="23"/>
      <c r="G17" s="23"/>
      <c r="H17" s="23"/>
      <c r="I17" s="24"/>
      <c r="J17" s="25"/>
    </row>
    <row r="18" spans="1:12" x14ac:dyDescent="0.2">
      <c r="A18" s="22"/>
      <c r="B18" s="23"/>
      <c r="C18" s="27"/>
      <c r="D18" s="23"/>
      <c r="E18" s="23"/>
      <c r="F18" s="23"/>
      <c r="G18" s="23"/>
      <c r="H18" s="23"/>
      <c r="I18" s="24"/>
      <c r="J18" s="25"/>
    </row>
    <row r="19" spans="1:12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2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2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2" ht="13.5" thickBot="1" x14ac:dyDescent="0.25"/>
    <row r="25" spans="1:12" ht="13.5" thickBot="1" x14ac:dyDescent="0.25">
      <c r="A25" s="60" t="s">
        <v>10</v>
      </c>
      <c r="B25" s="61"/>
      <c r="C25" s="16"/>
      <c r="D25" s="17"/>
      <c r="E25" s="17"/>
      <c r="F25" s="18"/>
      <c r="G25" s="18"/>
      <c r="H25" s="18"/>
      <c r="I25" s="18"/>
      <c r="J25" s="18"/>
      <c r="K25" s="18"/>
      <c r="L25" s="18"/>
    </row>
    <row r="26" spans="1:12" x14ac:dyDescent="0.2">
      <c r="A26" s="5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5" t="str">
        <f>"if exists (select * from dbo.sysobjects where id = object_id(N'[dbo].["&amp;$B$1&amp;"]') and OBJECTPROPERTY(id, N'IsUserTable') = 1)"</f>
        <v>if exists (select * from dbo.sysobjects where id = object_id(N'[dbo].[Merchant_StockOutDetail]') and OBJECTPROPERTY(id, N'IsUserTable') = 1)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9" t="str">
        <f>"drop table [dbo].["&amp;$B$1&amp;"]"</f>
        <v>drop table [dbo].[Merchant_StockOutDetail]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 t="str">
        <f>"CREATE TABLE [dbo].["&amp;$B$1&amp;"] ("</f>
        <v>CREATE TABLE [dbo].[Merchant_StockOutDetail] (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ref="B33:B44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[ma_xuat_kho] [varchar] (20)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[ma_san_pham] [varchar] (20)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[vi_tri] [varchar]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[don_vi_tinh] [varchar] (128)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[so_luong_yeu_cau] [int]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[so_luong_thuc_te]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[don_gia] [float]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[thanh_tien] [float] NOT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[ghi_chu] [nvarchar] (4096)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[trang_thai] [varchar] (32)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[nguoi_tao] [nvarchar] (128)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>[ngay_tao] [datetime] NOT NULL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 t="s">
        <v>12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 t="s">
        <v>11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 t="str">
        <f>"ALTER TABLE [dbo].["&amp;$B$1&amp;"] ADD"</f>
        <v>ALTER TABLE [dbo].[Merchant_StockOutDetail] ADD</v>
      </c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 t="str">
        <f>"CONSTRAINT [PK_"&amp;$B$1&amp;"] PRIMARY KEY  CLUSTERED"</f>
        <v>CONSTRAINT [PK_Merchant_StockOutDetail] PRIMARY KEY  CLUSTERED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 t="s">
        <v>13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/>
      <c r="C51" s="5" t="str">
        <f>IF(D4=TRUE, "["&amp;A4&amp;"]"&amp;IF(D5="", "", ", "), "")</f>
        <v xml:space="preserve">[id], </v>
      </c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/>
      <c r="B52" s="5"/>
      <c r="C52" s="5" t="str">
        <f>IF(D5=TRUE, "["&amp;A5&amp;"]"&amp;IF(D6="", "", ", "), "")</f>
        <v>[ma_xuat_kho]</v>
      </c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/>
      <c r="C53" s="5" t="str">
        <f>IF(D6=TRUE, "["&amp;#REF!&amp;"]"&amp;IF(D7="", "", ", "), "")</f>
        <v/>
      </c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 t="s">
        <v>14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ht="13.5" thickBot="1" x14ac:dyDescent="0.25">
      <c r="A55" s="11" t="s">
        <v>11</v>
      </c>
      <c r="B55" s="12"/>
      <c r="C55" s="12"/>
      <c r="D55" s="12"/>
      <c r="E55" s="12"/>
      <c r="F55" s="13"/>
      <c r="G55" s="12"/>
      <c r="H55" s="12"/>
      <c r="I55" s="14"/>
      <c r="J55" s="14"/>
      <c r="K55" s="12"/>
      <c r="L55" s="15"/>
    </row>
    <row r="56" spans="1:12" x14ac:dyDescent="0.2">
      <c r="A56" s="2"/>
      <c r="B56" s="2"/>
      <c r="C56" s="2"/>
      <c r="D56" s="2"/>
      <c r="E56" s="2"/>
      <c r="F56" s="3"/>
      <c r="G56" s="2"/>
      <c r="H56" s="2"/>
      <c r="I56" s="4"/>
      <c r="J56" s="4"/>
      <c r="K56" s="2"/>
      <c r="L56" s="2"/>
    </row>
    <row r="57" spans="1:12" x14ac:dyDescent="0.2">
      <c r="C57" t="s">
        <v>44</v>
      </c>
    </row>
    <row r="58" spans="1:12" x14ac:dyDescent="0.2">
      <c r="A58" s="37" t="s">
        <v>45</v>
      </c>
      <c r="B58" s="37" t="str">
        <f>B1</f>
        <v>Merchant_StockOutDetail</v>
      </c>
      <c r="C58" s="37"/>
    </row>
    <row r="59" spans="1:12" x14ac:dyDescent="0.2">
      <c r="A59" s="37" t="s">
        <v>46</v>
      </c>
      <c r="B59" s="37"/>
      <c r="C59" s="37"/>
    </row>
    <row r="60" spans="1:12" x14ac:dyDescent="0.2">
      <c r="A60" s="37"/>
      <c r="B60" s="37" t="s">
        <v>47</v>
      </c>
      <c r="C60" s="37"/>
    </row>
    <row r="61" spans="1:12" x14ac:dyDescent="0.2">
      <c r="A61" s="37"/>
      <c r="B61" s="37" t="s">
        <v>48</v>
      </c>
      <c r="C61" s="37"/>
    </row>
    <row r="62" spans="1:12" x14ac:dyDescent="0.2">
      <c r="A62" s="37" t="s">
        <v>49</v>
      </c>
      <c r="B62" s="37" t="str">
        <f>IF(OR($B4="nvarchar",$B4="varchar"),"string",IF($B4="datetime","DateTime",$B4))</f>
        <v>int</v>
      </c>
      <c r="C62" s="37" t="str">
        <f>A4&amp;" "&amp;$C$57</f>
        <v>id  { get; set; }</v>
      </c>
    </row>
    <row r="63" spans="1:12" x14ac:dyDescent="0.2">
      <c r="A63" s="37" t="s">
        <v>49</v>
      </c>
      <c r="B63" s="37" t="str">
        <f t="shared" ref="B63:B74" si="1">IF(OR($B5="nvarchar",$B5="varchar"),"string",IF($B5="datetime","DateTime",$B5))</f>
        <v>string</v>
      </c>
      <c r="C63" s="37" t="str">
        <f t="shared" ref="C63:C74" si="2">A5&amp;" "&amp;$C$57</f>
        <v>ma_xuat_kho  { get; set; }</v>
      </c>
    </row>
    <row r="64" spans="1:12" x14ac:dyDescent="0.2">
      <c r="A64" s="37" t="s">
        <v>49</v>
      </c>
      <c r="B64" s="37" t="str">
        <f t="shared" si="1"/>
        <v>string</v>
      </c>
      <c r="C64" s="37" t="str">
        <f t="shared" si="2"/>
        <v>ma_san_pham  { get; set; }</v>
      </c>
    </row>
    <row r="65" spans="1:3" x14ac:dyDescent="0.2">
      <c r="A65" s="37" t="s">
        <v>49</v>
      </c>
      <c r="B65" s="37" t="str">
        <f t="shared" si="1"/>
        <v>string</v>
      </c>
      <c r="C65" s="37" t="str">
        <f t="shared" si="2"/>
        <v>vi_tri  { get; set; }</v>
      </c>
    </row>
    <row r="66" spans="1:3" x14ac:dyDescent="0.2">
      <c r="A66" s="37" t="s">
        <v>49</v>
      </c>
      <c r="B66" s="37" t="str">
        <f t="shared" si="1"/>
        <v>string</v>
      </c>
      <c r="C66" s="37" t="str">
        <f t="shared" si="2"/>
        <v>don_vi_tinh  { get; set; }</v>
      </c>
    </row>
    <row r="67" spans="1:3" x14ac:dyDescent="0.2">
      <c r="A67" s="37" t="s">
        <v>49</v>
      </c>
      <c r="B67" s="37" t="str">
        <f t="shared" si="1"/>
        <v>int</v>
      </c>
      <c r="C67" s="37" t="str">
        <f t="shared" si="2"/>
        <v>so_luong_yeu_cau  { get; set; }</v>
      </c>
    </row>
    <row r="68" spans="1:3" x14ac:dyDescent="0.2">
      <c r="A68" s="37" t="s">
        <v>49</v>
      </c>
      <c r="B68" s="37" t="str">
        <f t="shared" si="1"/>
        <v>int</v>
      </c>
      <c r="C68" s="37" t="str">
        <f t="shared" si="2"/>
        <v>so_luong_thuc_te  { get; set; }</v>
      </c>
    </row>
    <row r="69" spans="1:3" x14ac:dyDescent="0.2">
      <c r="A69" s="37" t="s">
        <v>49</v>
      </c>
      <c r="B69" s="37" t="str">
        <f t="shared" si="1"/>
        <v>float</v>
      </c>
      <c r="C69" s="37" t="str">
        <f t="shared" si="2"/>
        <v>don_gia  { get; set; }</v>
      </c>
    </row>
    <row r="70" spans="1:3" x14ac:dyDescent="0.2">
      <c r="A70" s="37" t="s">
        <v>49</v>
      </c>
      <c r="B70" s="37" t="str">
        <f t="shared" si="1"/>
        <v>float</v>
      </c>
      <c r="C70" s="37" t="str">
        <f t="shared" si="2"/>
        <v>thanh_tien  { get; set; }</v>
      </c>
    </row>
    <row r="71" spans="1:3" x14ac:dyDescent="0.2">
      <c r="A71" s="37" t="s">
        <v>49</v>
      </c>
      <c r="B71" s="37" t="str">
        <f t="shared" si="1"/>
        <v>string</v>
      </c>
      <c r="C71" s="37" t="str">
        <f t="shared" si="2"/>
        <v>ghi_chu  { get; set; }</v>
      </c>
    </row>
    <row r="72" spans="1:3" x14ac:dyDescent="0.2">
      <c r="A72" s="37" t="s">
        <v>49</v>
      </c>
      <c r="B72" s="37" t="str">
        <f t="shared" si="1"/>
        <v>string</v>
      </c>
      <c r="C72" s="37" t="str">
        <f t="shared" si="2"/>
        <v>trang_thai  { get; set; }</v>
      </c>
    </row>
    <row r="73" spans="1:3" x14ac:dyDescent="0.2">
      <c r="A73" s="37" t="s">
        <v>49</v>
      </c>
      <c r="B73" s="37" t="str">
        <f t="shared" si="1"/>
        <v>string</v>
      </c>
      <c r="C73" s="37" t="str">
        <f t="shared" si="2"/>
        <v>nguoi_tao  { get; set; }</v>
      </c>
    </row>
    <row r="74" spans="1:3" x14ac:dyDescent="0.2">
      <c r="A74" s="37" t="s">
        <v>49</v>
      </c>
      <c r="B74" s="37" t="str">
        <f t="shared" si="1"/>
        <v>DateTime</v>
      </c>
      <c r="C74" s="37" t="str">
        <f t="shared" si="2"/>
        <v>ngay_tao  { get; set; }</v>
      </c>
    </row>
    <row r="75" spans="1:3" x14ac:dyDescent="0.2">
      <c r="A75" s="37" t="s">
        <v>50</v>
      </c>
      <c r="B75" s="37"/>
      <c r="C75" s="37" t="str">
        <f>IF($B25="nvarchar","("&amp;$C$5&amp;")",IF($B25="varchar","("&amp;$C25&amp;")",""))</f>
        <v/>
      </c>
    </row>
    <row r="77" spans="1:3" x14ac:dyDescent="0.2">
      <c r="A77" s="37" t="s">
        <v>72</v>
      </c>
    </row>
    <row r="78" spans="1:3" s="41" customFormat="1" x14ac:dyDescent="0.2">
      <c r="A78" s="40" t="str">
        <f>"DROP TABLE IF EXISTS "&amp;$B$1&amp;";"</f>
        <v>DROP TABLE IF EXISTS Merchant_StockOutDetail;</v>
      </c>
    </row>
    <row r="79" spans="1:3" s="41" customFormat="1" x14ac:dyDescent="0.2">
      <c r="A79" s="42" t="str">
        <f>"CREATE TABLE "&amp;$B$1&amp;"("</f>
        <v>CREATE TABLE Merchant_StockOutDetail(</v>
      </c>
    </row>
    <row r="80" spans="1:3" s="41" customFormat="1" x14ac:dyDescent="0.2">
      <c r="B80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1" spans="1:2" s="41" customFormat="1" x14ac:dyDescent="0.2">
      <c r="B81" s="41" t="e">
        <f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AUTO_INCREMENT","")&amp;IF(#REF!&lt;&gt;"",", ","")</f>
        <v>#REF!</v>
      </c>
    </row>
    <row r="82" spans="1:2" s="41" customFormat="1" x14ac:dyDescent="0.2">
      <c r="B82" s="41" t="e">
        <f>#REF!&amp;" "&amp;B6&amp;IF(AND(B6&lt;&gt;"int",B6&lt;&gt;"bigint",B6&lt;&gt;"bit",B6&lt;&gt;"float",B6&lt;&gt;"datetime",B6&lt;&gt;"smalldatetime",B6&lt;&gt;"timestamp",B6&lt;&gt;"xml"),"("&amp;C6&amp;") "," ")&amp;""&amp;IF(F6=FALSE,"NOT NULL","NULL")&amp;IF(G6&lt;&gt;""," DEFAULT ("&amp;G6&amp;")","")&amp;IF(H6=TRUE," AUTO_INCREMENT","")&amp;IF(A6&lt;&gt;"",", ","")</f>
        <v>#REF!</v>
      </c>
    </row>
    <row r="83" spans="1:2" s="41" customFormat="1" x14ac:dyDescent="0.2">
      <c r="B83" s="41" t="e">
        <f>A6&amp;"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NULL","NULL")&amp;IF(G7&lt;&gt;""," DEFAULT ("&amp;G7&amp;")","")&amp;IF(H7=TRUE," AUTO_INCREMENT","")&amp;IF(A7&lt;&gt;"",", ","")</f>
        <v>#REF!</v>
      </c>
    </row>
    <row r="84" spans="1:2" s="41" customFormat="1" x14ac:dyDescent="0.2">
      <c r="B84" s="41" t="e">
        <f>A7&amp;" "&amp;B7&amp;IF(AND(B7&lt;&gt;"int",B7&lt;&gt;"bigint",B7&lt;&gt;"bit",B7&lt;&gt;"float",B7&lt;&gt;"datetime",B7&lt;&gt;"smalldatetime",B7&lt;&gt;"timestamp",B7&lt;&gt;"xml"),"("&amp;C7&amp;") "," ")&amp;""&amp;IF(F7=FALSE,"NOT NULL","NULL")&amp;IF(G8&lt;&gt;""," DEFAULT ("&amp;G8&amp;")","")&amp;IF(H8=TRUE," AUTO_INCREMENT","")&amp;IF(#REF!&lt;&gt;"",", ","")</f>
        <v>#REF!</v>
      </c>
    </row>
    <row r="85" spans="1:2" s="41" customFormat="1" x14ac:dyDescent="0.2">
      <c r="B85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NULL","NULL")&amp;IF(G9&lt;&gt;""," DEFAULT ("&amp;G9&amp;")","")&amp;IF(H9=TRUE," AUTO_INCREMENT","")&amp;IF(A8&lt;&gt;"",", ","")</f>
        <v>#REF!</v>
      </c>
    </row>
    <row r="86" spans="1:2" s="41" customFormat="1" x14ac:dyDescent="0.2">
      <c r="B86" s="41" t="e">
        <f>A8&amp;" "&amp;B8&amp;IF(AND(B8&lt;&gt;"int",B8&lt;&gt;"bigint",B8&lt;&gt;"bit",B8&lt;&gt;"float",B8&lt;&gt;"datetime",B8&lt;&gt;"smalldatetime",B8&lt;&gt;"timestamp",B8&lt;&gt;"xml"),"("&amp;C8&amp;") "," ")&amp;""&amp;IF(F8=FALSE,"NOT NULL","NULL")&amp;IF(G10&lt;&gt;""," DEFAULT ("&amp;G10&amp;")","")&amp;IF(H10=TRUE," AUTO_INCREMENT","")&amp;IF(#REF!&lt;&gt;"",", ","")</f>
        <v>#REF!</v>
      </c>
    </row>
    <row r="87" spans="1:2" s="41" customFormat="1" x14ac:dyDescent="0.2">
      <c r="A87" s="41" t="s">
        <v>74</v>
      </c>
    </row>
    <row r="88" spans="1:2" s="41" customFormat="1" x14ac:dyDescent="0.2">
      <c r="B88" s="5" t="str">
        <f>IF(D4=TRUE, A4&amp;IF(D5="", "", ", "), "")</f>
        <v xml:space="preserve">id, </v>
      </c>
    </row>
    <row r="89" spans="1:2" s="41" customFormat="1" x14ac:dyDescent="0.2">
      <c r="B89" s="5" t="str">
        <f>IF(D5=TRUE, A5&amp;IF(D6="", "", ", "), "")</f>
        <v>ma_xuat_kho</v>
      </c>
    </row>
    <row r="90" spans="1:2" s="41" customFormat="1" x14ac:dyDescent="0.2">
      <c r="B90" s="5" t="str">
        <f>IF(D6=TRUE,#REF!&amp;IF( D7="", "", ", "), "")</f>
        <v/>
      </c>
    </row>
    <row r="91" spans="1:2" s="41" customFormat="1" x14ac:dyDescent="0.2">
      <c r="B91" s="41" t="s">
        <v>75</v>
      </c>
    </row>
    <row r="92" spans="1:2" s="41" customFormat="1" x14ac:dyDescent="0.2">
      <c r="A92" s="41" t="s">
        <v>73</v>
      </c>
    </row>
    <row r="93" spans="1:2" s="41" customFormat="1" x14ac:dyDescent="0.2"/>
    <row r="94" spans="1:2" s="41" customFormat="1" x14ac:dyDescent="0.2"/>
    <row r="95" spans="1:2" s="41" customFormat="1" x14ac:dyDescent="0.2"/>
    <row r="96" spans="1:2" s="41" customFormat="1" x14ac:dyDescent="0.2"/>
  </sheetData>
  <mergeCells count="1">
    <mergeCell ref="A25:B25"/>
  </mergeCells>
  <hyperlinks>
    <hyperlink ref="D1" location="'Sheet List'!A1" display="back to list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topLeftCell="B173" workbookViewId="0">
      <selection sqref="A1:K192"/>
    </sheetView>
  </sheetViews>
  <sheetFormatPr defaultRowHeight="12.75" x14ac:dyDescent="0.2"/>
  <cols>
    <col min="1" max="1" width="23.85546875" customWidth="1"/>
    <col min="2" max="2" width="17.7109375" customWidth="1"/>
    <col min="3" max="3" width="31.140625" bestFit="1" customWidth="1"/>
    <col min="4" max="4" width="12.140625" bestFit="1" customWidth="1"/>
    <col min="5" max="5" width="19.28515625" bestFit="1" customWidth="1"/>
    <col min="6" max="6" width="10.140625" customWidth="1"/>
    <col min="7" max="8" width="10.42578125" bestFit="1" customWidth="1"/>
    <col min="9" max="9" width="50.7109375" bestFit="1" customWidth="1"/>
    <col min="10" max="10" width="9" customWidth="1"/>
  </cols>
  <sheetData>
    <row r="1" spans="1:10" x14ac:dyDescent="0.2">
      <c r="A1" s="1" t="s">
        <v>8</v>
      </c>
      <c r="B1" s="1" t="s">
        <v>165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53" t="s">
        <v>154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52</v>
      </c>
      <c r="B6" s="23" t="s">
        <v>7</v>
      </c>
      <c r="C6" s="27">
        <v>20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172</v>
      </c>
      <c r="B7" s="23" t="s">
        <v>7</v>
      </c>
      <c r="C7" s="27">
        <v>50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162</v>
      </c>
      <c r="B8" s="23" t="s">
        <v>7</v>
      </c>
      <c r="C8" s="27">
        <v>128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163</v>
      </c>
      <c r="B9" s="23" t="s">
        <v>19</v>
      </c>
      <c r="C9" s="27"/>
      <c r="D9" s="23"/>
      <c r="E9" s="23"/>
      <c r="F9" s="23" t="b">
        <v>0</v>
      </c>
      <c r="G9" s="23"/>
      <c r="H9" s="23"/>
      <c r="I9" s="24"/>
      <c r="J9" s="25"/>
    </row>
    <row r="10" spans="1:10" x14ac:dyDescent="0.2">
      <c r="A10" s="22" t="s">
        <v>178</v>
      </c>
      <c r="B10" s="23" t="s">
        <v>19</v>
      </c>
      <c r="C10" s="27"/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60</v>
      </c>
      <c r="B11" s="23" t="s">
        <v>56</v>
      </c>
      <c r="C11" s="27"/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22" t="s">
        <v>164</v>
      </c>
      <c r="B12" s="23" t="s">
        <v>56</v>
      </c>
      <c r="C12" s="27"/>
      <c r="D12" s="23"/>
      <c r="E12" s="23"/>
      <c r="F12" s="23" t="b">
        <v>0</v>
      </c>
      <c r="G12" s="23"/>
      <c r="H12" s="23"/>
      <c r="I12" s="24"/>
      <c r="J12" s="25"/>
    </row>
    <row r="13" spans="1:10" x14ac:dyDescent="0.2">
      <c r="A13" s="22" t="s">
        <v>160</v>
      </c>
      <c r="B13" s="23" t="s">
        <v>20</v>
      </c>
      <c r="C13" s="27">
        <v>4096</v>
      </c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30" t="s">
        <v>51</v>
      </c>
      <c r="B14" s="23" t="s">
        <v>7</v>
      </c>
      <c r="C14" s="27">
        <v>32</v>
      </c>
      <c r="D14" s="23"/>
      <c r="E14" s="23"/>
      <c r="F14" s="23" t="b">
        <v>0</v>
      </c>
      <c r="G14" s="23"/>
      <c r="H14" s="23"/>
      <c r="I14" s="24"/>
      <c r="J14" s="25"/>
    </row>
    <row r="15" spans="1:10" x14ac:dyDescent="0.2">
      <c r="A15" s="22" t="s">
        <v>22</v>
      </c>
      <c r="B15" s="23" t="s">
        <v>20</v>
      </c>
      <c r="C15" s="27">
        <v>128</v>
      </c>
      <c r="D15" s="23"/>
      <c r="E15" s="23"/>
      <c r="F15" s="23" t="b">
        <v>0</v>
      </c>
      <c r="G15" s="23"/>
      <c r="H15" s="23"/>
      <c r="I15" s="24"/>
      <c r="J15" s="25"/>
    </row>
    <row r="16" spans="1:10" x14ac:dyDescent="0.2">
      <c r="A16" s="22" t="s">
        <v>21</v>
      </c>
      <c r="B16" s="23" t="s">
        <v>9</v>
      </c>
      <c r="C16" s="27"/>
      <c r="D16" s="23"/>
      <c r="E16" s="23"/>
      <c r="F16" s="23" t="b">
        <v>0</v>
      </c>
      <c r="G16" s="23"/>
      <c r="H16" s="23"/>
      <c r="I16" s="24"/>
      <c r="J16" s="25"/>
    </row>
    <row r="17" spans="1:12" x14ac:dyDescent="0.2">
      <c r="A17" s="22"/>
      <c r="B17" s="23"/>
      <c r="C17" s="27"/>
      <c r="D17" s="23"/>
      <c r="E17" s="23"/>
      <c r="F17" s="23"/>
      <c r="G17" s="23"/>
      <c r="H17" s="23"/>
      <c r="I17" s="24"/>
      <c r="J17" s="25"/>
    </row>
    <row r="18" spans="1:12" x14ac:dyDescent="0.2">
      <c r="A18" s="22"/>
      <c r="B18" s="23"/>
      <c r="C18" s="27"/>
      <c r="D18" s="23"/>
      <c r="E18" s="23"/>
      <c r="F18" s="23"/>
      <c r="G18" s="23"/>
      <c r="H18" s="23"/>
      <c r="I18" s="24"/>
      <c r="J18" s="25"/>
    </row>
    <row r="19" spans="1:12" x14ac:dyDescent="0.2">
      <c r="A19" s="22"/>
      <c r="B19" s="23"/>
      <c r="C19" s="27"/>
      <c r="D19" s="23"/>
      <c r="E19" s="23"/>
      <c r="F19" s="23"/>
      <c r="G19" s="23"/>
      <c r="H19" s="23"/>
      <c r="I19" s="24"/>
      <c r="J19" s="25"/>
    </row>
    <row r="20" spans="1:12" x14ac:dyDescent="0.2">
      <c r="A20" s="22"/>
      <c r="B20" s="23"/>
      <c r="C20" s="27"/>
      <c r="D20" s="23"/>
      <c r="E20" s="23"/>
      <c r="F20" s="23"/>
      <c r="G20" s="23"/>
      <c r="H20" s="23"/>
      <c r="I20" s="24"/>
      <c r="J20" s="25"/>
    </row>
    <row r="21" spans="1:12" x14ac:dyDescent="0.2">
      <c r="A21" s="22"/>
      <c r="B21" s="23"/>
      <c r="C21" s="27"/>
      <c r="D21" s="23"/>
      <c r="E21" s="23"/>
      <c r="F21" s="23"/>
      <c r="G21" s="23"/>
      <c r="H21" s="23"/>
      <c r="I21" s="24"/>
      <c r="J21" s="25"/>
    </row>
    <row r="22" spans="1:12" x14ac:dyDescent="0.2">
      <c r="A22" s="22"/>
      <c r="B22" s="23"/>
      <c r="C22" s="27"/>
      <c r="D22" s="23"/>
      <c r="E22" s="23"/>
      <c r="F22" s="23"/>
      <c r="G22" s="23"/>
      <c r="H22" s="23"/>
      <c r="I22" s="24"/>
      <c r="J22" s="25"/>
    </row>
    <row r="23" spans="1:12" x14ac:dyDescent="0.2">
      <c r="A23" s="22"/>
      <c r="B23" s="23"/>
      <c r="C23" s="27"/>
      <c r="D23" s="23"/>
      <c r="E23" s="23"/>
      <c r="F23" s="23"/>
      <c r="G23" s="23"/>
      <c r="H23" s="23"/>
      <c r="I23" s="24"/>
      <c r="J23" s="25"/>
    </row>
    <row r="24" spans="1:12" ht="13.5" thickBot="1" x14ac:dyDescent="0.25"/>
    <row r="25" spans="1:12" ht="13.5" thickBot="1" x14ac:dyDescent="0.25">
      <c r="A25" s="60" t="s">
        <v>10</v>
      </c>
      <c r="B25" s="61"/>
      <c r="C25" s="16"/>
      <c r="D25" s="17"/>
      <c r="E25" s="17"/>
      <c r="F25" s="18"/>
      <c r="G25" s="18"/>
      <c r="H25" s="18"/>
      <c r="I25" s="18"/>
      <c r="J25" s="18"/>
      <c r="K25" s="18"/>
      <c r="L25" s="18"/>
    </row>
    <row r="26" spans="1:12" x14ac:dyDescent="0.2">
      <c r="A26" s="5"/>
      <c r="B26" s="5"/>
      <c r="C26" s="5"/>
      <c r="D26" s="5"/>
      <c r="E26" s="5"/>
      <c r="F26" s="6"/>
      <c r="G26" s="5"/>
      <c r="H26" s="5"/>
      <c r="I26" s="7"/>
      <c r="J26" s="7"/>
      <c r="K26" s="5"/>
      <c r="L26" s="8"/>
    </row>
    <row r="27" spans="1:12" x14ac:dyDescent="0.2">
      <c r="A27" s="5" t="str">
        <f>"if exists (select * from dbo.sysobjects where id = object_id(N'[dbo].["&amp;$B$1&amp;"]') and OBJECTPROPERTY(id, N'IsUserTable') = 1)"</f>
        <v>if exists (select * from dbo.sysobjects where id = object_id(N'[dbo].[Merchant_StockInDetail]') and OBJECTPROPERTY(id, N'IsUserTable') = 1)</v>
      </c>
      <c r="B27" s="5"/>
      <c r="C27" s="5"/>
      <c r="D27" s="5"/>
      <c r="E27" s="5"/>
      <c r="F27" s="6"/>
      <c r="G27" s="5"/>
      <c r="H27" s="5"/>
      <c r="I27" s="7"/>
      <c r="J27" s="7"/>
      <c r="K27" s="5"/>
      <c r="L27" s="8"/>
    </row>
    <row r="28" spans="1:12" x14ac:dyDescent="0.2">
      <c r="A28" s="9" t="str">
        <f>"drop table [dbo].["&amp;$B$1&amp;"]"</f>
        <v>drop table [dbo].[Merchant_StockInDetail]</v>
      </c>
      <c r="B28" s="5"/>
      <c r="C28" s="5"/>
      <c r="D28" s="5"/>
      <c r="E28" s="5"/>
      <c r="F28" s="6"/>
      <c r="G28" s="5"/>
      <c r="H28" s="5"/>
      <c r="I28" s="7"/>
      <c r="J28" s="7"/>
      <c r="K28" s="5"/>
      <c r="L28" s="8"/>
    </row>
    <row r="29" spans="1:12" x14ac:dyDescent="0.2">
      <c r="A29" s="9" t="s">
        <v>11</v>
      </c>
      <c r="B29" s="5"/>
      <c r="C29" s="5"/>
      <c r="D29" s="5"/>
      <c r="E29" s="5"/>
      <c r="F29" s="6"/>
      <c r="G29" s="5"/>
      <c r="H29" s="5"/>
      <c r="I29" s="7"/>
      <c r="J29" s="7"/>
      <c r="K29" s="5"/>
      <c r="L29" s="8"/>
    </row>
    <row r="30" spans="1:12" x14ac:dyDescent="0.2">
      <c r="A30" s="9"/>
      <c r="B30" s="5"/>
      <c r="C30" s="5"/>
      <c r="D30" s="5"/>
      <c r="E30" s="5"/>
      <c r="F30" s="6"/>
      <c r="G30" s="5"/>
      <c r="H30" s="5"/>
      <c r="I30" s="7"/>
      <c r="J30" s="7"/>
      <c r="K30" s="5"/>
      <c r="L30" s="8"/>
    </row>
    <row r="31" spans="1:12" x14ac:dyDescent="0.2">
      <c r="A31" s="10" t="str">
        <f>"CREATE TABLE [dbo].["&amp;$B$1&amp;"] ("</f>
        <v>CREATE TABLE [dbo].[Merchant_StockInDetail] (</v>
      </c>
      <c r="B31" s="5"/>
      <c r="C31" s="5"/>
      <c r="D31" s="5"/>
      <c r="E31" s="5"/>
      <c r="F31" s="6"/>
      <c r="G31" s="5"/>
      <c r="H31" s="5"/>
      <c r="I31" s="7"/>
      <c r="J31" s="7"/>
      <c r="K31" s="5"/>
      <c r="L31" s="8"/>
    </row>
    <row r="32" spans="1:12" x14ac:dyDescent="0.2">
      <c r="A32" s="10"/>
      <c r="B32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32" s="5"/>
      <c r="D32" s="5"/>
      <c r="E32" s="5"/>
      <c r="F32" s="6"/>
      <c r="G32" s="5"/>
      <c r="H32" s="5"/>
      <c r="I32" s="7"/>
      <c r="J32" s="7"/>
      <c r="K32" s="5"/>
      <c r="L32" s="8"/>
    </row>
    <row r="33" spans="1:12" x14ac:dyDescent="0.2">
      <c r="A33" s="10"/>
      <c r="B33" s="5" t="str">
        <f t="shared" ref="B33:B44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[ma_nhap_kho] [varchar] (20) NOT NULL, </v>
      </c>
      <c r="C33" s="5"/>
      <c r="D33" s="5"/>
      <c r="E33" s="5"/>
      <c r="F33" s="6"/>
      <c r="G33" s="5"/>
      <c r="H33" s="5"/>
      <c r="I33" s="7"/>
      <c r="J33" s="7"/>
      <c r="K33" s="5"/>
      <c r="L33" s="8"/>
    </row>
    <row r="34" spans="1:12" x14ac:dyDescent="0.2">
      <c r="A34" s="10"/>
      <c r="B34" s="5" t="str">
        <f t="shared" si="0"/>
        <v xml:space="preserve">[ma_san_pham] [varchar] (20) NOT NULL, </v>
      </c>
      <c r="C34" s="5"/>
      <c r="D34" s="5"/>
      <c r="E34" s="5"/>
      <c r="F34" s="6"/>
      <c r="G34" s="5"/>
      <c r="H34" s="5"/>
      <c r="I34" s="7"/>
      <c r="J34" s="7"/>
      <c r="K34" s="5"/>
      <c r="L34" s="8"/>
    </row>
    <row r="35" spans="1:12" x14ac:dyDescent="0.2">
      <c r="A35" s="10"/>
      <c r="B35" s="5" t="str">
        <f t="shared" si="0"/>
        <v xml:space="preserve">[vi_tri] [varchar] (50) NOT NULL, </v>
      </c>
      <c r="C35" s="5"/>
      <c r="D35" s="5"/>
      <c r="E35" s="5"/>
      <c r="F35" s="6"/>
      <c r="G35" s="5"/>
      <c r="H35" s="5"/>
      <c r="I35" s="7"/>
      <c r="J35" s="7"/>
      <c r="K35" s="5"/>
      <c r="L35" s="8"/>
    </row>
    <row r="36" spans="1:12" x14ac:dyDescent="0.2">
      <c r="A36" s="10"/>
      <c r="B36" s="5" t="str">
        <f t="shared" si="0"/>
        <v xml:space="preserve">[don_vi_tinh] [varchar] (128) NOT NULL, </v>
      </c>
      <c r="C36" s="5"/>
      <c r="D36" s="5"/>
      <c r="E36" s="5"/>
      <c r="F36" s="6"/>
      <c r="G36" s="5"/>
      <c r="H36" s="5"/>
      <c r="I36" s="7"/>
      <c r="J36" s="7"/>
      <c r="K36" s="5"/>
      <c r="L36" s="8"/>
    </row>
    <row r="37" spans="1:12" x14ac:dyDescent="0.2">
      <c r="A37" s="10"/>
      <c r="B37" s="5" t="str">
        <f t="shared" si="0"/>
        <v xml:space="preserve">[so_luong_yeu_cau] [int] NOT NULL, </v>
      </c>
      <c r="C37" s="5"/>
      <c r="D37" s="5"/>
      <c r="E37" s="5"/>
      <c r="F37" s="6"/>
      <c r="G37" s="5"/>
      <c r="H37" s="5"/>
      <c r="I37" s="7"/>
      <c r="J37" s="7"/>
      <c r="K37" s="5"/>
      <c r="L37" s="8"/>
    </row>
    <row r="38" spans="1:12" x14ac:dyDescent="0.2">
      <c r="A38" s="10"/>
      <c r="B38" s="5" t="str">
        <f t="shared" si="0"/>
        <v xml:space="preserve">[so_luong_thuc_te] [int] NOT NULL, </v>
      </c>
      <c r="C38" s="5"/>
      <c r="D38" s="5"/>
      <c r="E38" s="5"/>
      <c r="F38" s="6"/>
      <c r="G38" s="5"/>
      <c r="H38" s="5"/>
      <c r="I38" s="7"/>
      <c r="J38" s="7"/>
      <c r="K38" s="5"/>
      <c r="L38" s="8"/>
    </row>
    <row r="39" spans="1:12" x14ac:dyDescent="0.2">
      <c r="A39" s="10"/>
      <c r="B39" s="5" t="str">
        <f t="shared" si="0"/>
        <v xml:space="preserve">[don_gia] [float] NOT NULL, </v>
      </c>
      <c r="C39" s="5"/>
      <c r="D39" s="5"/>
      <c r="E39" s="5"/>
      <c r="F39" s="6"/>
      <c r="G39" s="5"/>
      <c r="H39" s="5"/>
      <c r="I39" s="7"/>
      <c r="J39" s="7"/>
      <c r="K39" s="5"/>
      <c r="L39" s="8"/>
    </row>
    <row r="40" spans="1:12" x14ac:dyDescent="0.2">
      <c r="A40" s="10"/>
      <c r="B40" s="5" t="str">
        <f t="shared" si="0"/>
        <v xml:space="preserve">[thanh_tien] [float] NOT NULL, </v>
      </c>
      <c r="C40" s="5"/>
      <c r="D40" s="5"/>
      <c r="E40" s="5"/>
      <c r="F40" s="6"/>
      <c r="G40" s="5"/>
      <c r="H40" s="5"/>
      <c r="I40" s="7"/>
      <c r="J40" s="7"/>
      <c r="K40" s="5"/>
      <c r="L40" s="8"/>
    </row>
    <row r="41" spans="1:12" x14ac:dyDescent="0.2">
      <c r="A41" s="10"/>
      <c r="B41" s="5" t="str">
        <f t="shared" si="0"/>
        <v xml:space="preserve">[ghi_chu] [nvarchar] (4096) NULL, </v>
      </c>
      <c r="C41" s="5"/>
      <c r="D41" s="5"/>
      <c r="E41" s="5"/>
      <c r="F41" s="6"/>
      <c r="G41" s="5"/>
      <c r="H41" s="5"/>
      <c r="I41" s="7"/>
      <c r="J41" s="7"/>
      <c r="K41" s="5"/>
      <c r="L41" s="8"/>
    </row>
    <row r="42" spans="1:12" x14ac:dyDescent="0.2">
      <c r="A42" s="10"/>
      <c r="B42" s="5" t="str">
        <f t="shared" si="0"/>
        <v xml:space="preserve">[trang_thai] [varchar] (32) NOT NULL, </v>
      </c>
      <c r="C42" s="5"/>
      <c r="D42" s="5"/>
      <c r="E42" s="5"/>
      <c r="F42" s="6"/>
      <c r="G42" s="5"/>
      <c r="H42" s="5"/>
      <c r="I42" s="7"/>
      <c r="J42" s="7"/>
      <c r="K42" s="5"/>
      <c r="L42" s="8"/>
    </row>
    <row r="43" spans="1:12" x14ac:dyDescent="0.2">
      <c r="A43" s="10"/>
      <c r="B43" s="5" t="str">
        <f t="shared" si="0"/>
        <v xml:space="preserve">[nguoi_tao] [nvarchar] (128) NOT NULL, </v>
      </c>
      <c r="C43" s="5"/>
      <c r="D43" s="5"/>
      <c r="E43" s="5"/>
      <c r="F43" s="6"/>
      <c r="G43" s="5"/>
      <c r="H43" s="5"/>
      <c r="I43" s="7"/>
      <c r="J43" s="7"/>
      <c r="K43" s="5"/>
      <c r="L43" s="8"/>
    </row>
    <row r="44" spans="1:12" x14ac:dyDescent="0.2">
      <c r="A44" s="10"/>
      <c r="B44" s="5" t="str">
        <f t="shared" si="0"/>
        <v>[ngay_tao] [datetime] NOT NULL</v>
      </c>
      <c r="C44" s="5"/>
      <c r="D44" s="5"/>
      <c r="E44" s="5"/>
      <c r="F44" s="6"/>
      <c r="G44" s="5"/>
      <c r="H44" s="5"/>
      <c r="I44" s="7"/>
      <c r="J44" s="7"/>
      <c r="K44" s="5"/>
      <c r="L44" s="8"/>
    </row>
    <row r="45" spans="1:12" x14ac:dyDescent="0.2">
      <c r="A45" s="9" t="s">
        <v>12</v>
      </c>
      <c r="B45" s="5"/>
      <c r="C45" s="5"/>
      <c r="D45" s="5"/>
      <c r="E45" s="5"/>
      <c r="F45" s="6"/>
      <c r="G45" s="5"/>
      <c r="H45" s="5"/>
      <c r="I45" s="7"/>
      <c r="J45" s="7"/>
      <c r="K45" s="5"/>
      <c r="L45" s="8"/>
    </row>
    <row r="46" spans="1:12" x14ac:dyDescent="0.2">
      <c r="A46" s="9" t="s">
        <v>11</v>
      </c>
      <c r="B46" s="5"/>
      <c r="C46" s="5"/>
      <c r="D46" s="5"/>
      <c r="E46" s="5"/>
      <c r="F46" s="6"/>
      <c r="G46" s="5"/>
      <c r="H46" s="5"/>
      <c r="I46" s="7"/>
      <c r="J46" s="7"/>
      <c r="K46" s="5"/>
      <c r="L46" s="8"/>
    </row>
    <row r="47" spans="1:12" x14ac:dyDescent="0.2">
      <c r="A47" s="9"/>
      <c r="B47" s="5"/>
      <c r="C47" s="5"/>
      <c r="D47" s="5"/>
      <c r="E47" s="5"/>
      <c r="F47" s="6"/>
      <c r="G47" s="5"/>
      <c r="H47" s="5"/>
      <c r="I47" s="7"/>
      <c r="J47" s="7"/>
      <c r="K47" s="5"/>
      <c r="L47" s="8"/>
    </row>
    <row r="48" spans="1:12" x14ac:dyDescent="0.2">
      <c r="A48" s="9" t="str">
        <f>"ALTER TABLE [dbo].["&amp;$B$1&amp;"] ADD"</f>
        <v>ALTER TABLE [dbo].[Merchant_StockInDetail] ADD</v>
      </c>
      <c r="B48" s="5"/>
      <c r="C48" s="5"/>
      <c r="D48" s="5"/>
      <c r="E48" s="5"/>
      <c r="F48" s="6"/>
      <c r="G48" s="5"/>
      <c r="H48" s="5"/>
      <c r="I48" s="7"/>
      <c r="J48" s="7"/>
      <c r="K48" s="5"/>
      <c r="L48" s="8"/>
    </row>
    <row r="49" spans="1:12" x14ac:dyDescent="0.2">
      <c r="A49" s="9"/>
      <c r="B49" s="5" t="str">
        <f>"CONSTRAINT [PK_"&amp;$B$1&amp;"] PRIMARY KEY  CLUSTERED"</f>
        <v>CONSTRAINT [PK_Merchant_StockInDetail] PRIMARY KEY  CLUSTERED</v>
      </c>
      <c r="C49" s="5"/>
      <c r="D49" s="5"/>
      <c r="E49" s="5"/>
      <c r="F49" s="6"/>
      <c r="G49" s="5"/>
      <c r="H49" s="5"/>
      <c r="I49" s="7"/>
      <c r="J49" s="7"/>
      <c r="K49" s="5"/>
      <c r="L49" s="8"/>
    </row>
    <row r="50" spans="1:12" x14ac:dyDescent="0.2">
      <c r="A50" s="9"/>
      <c r="B50" s="5" t="s">
        <v>13</v>
      </c>
      <c r="C50" s="5"/>
      <c r="D50" s="5"/>
      <c r="E50" s="5"/>
      <c r="F50" s="6"/>
      <c r="G50" s="5"/>
      <c r="H50" s="5"/>
      <c r="I50" s="7"/>
      <c r="J50" s="7"/>
      <c r="K50" s="5"/>
      <c r="L50" s="8"/>
    </row>
    <row r="51" spans="1:12" x14ac:dyDescent="0.2">
      <c r="A51" s="9"/>
      <c r="B51" s="5"/>
      <c r="C51" s="5" t="str">
        <f>IF(D4=TRUE, "["&amp;A4&amp;"]"&amp;IF(D5="", "", ", "), "")</f>
        <v xml:space="preserve">[id], </v>
      </c>
      <c r="D51" s="5"/>
      <c r="E51" s="5"/>
      <c r="F51" s="6"/>
      <c r="G51" s="5"/>
      <c r="H51" s="5"/>
      <c r="I51" s="7"/>
      <c r="J51" s="7"/>
      <c r="K51" s="5"/>
      <c r="L51" s="8"/>
    </row>
    <row r="52" spans="1:12" x14ac:dyDescent="0.2">
      <c r="A52" s="9"/>
      <c r="B52" s="5"/>
      <c r="C52" s="5" t="str">
        <f>IF(D5=TRUE, "["&amp;A5&amp;"]"&amp;IF(D6="", "", ", "), "")</f>
        <v>[ma_nhap_kho]</v>
      </c>
      <c r="D52" s="5"/>
      <c r="E52" s="5"/>
      <c r="F52" s="6"/>
      <c r="G52" s="5"/>
      <c r="H52" s="5"/>
      <c r="I52" s="7"/>
      <c r="J52" s="7"/>
      <c r="K52" s="5"/>
      <c r="L52" s="8"/>
    </row>
    <row r="53" spans="1:12" x14ac:dyDescent="0.2">
      <c r="A53" s="9"/>
      <c r="B53" s="5"/>
      <c r="C53" s="5" t="str">
        <f>IF(D6=TRUE, "["&amp;#REF!&amp;"]"&amp;IF(D7="", "", ", "), "")</f>
        <v/>
      </c>
      <c r="D53" s="5"/>
      <c r="E53" s="5"/>
      <c r="F53" s="6"/>
      <c r="G53" s="5"/>
      <c r="H53" s="5"/>
      <c r="I53" s="7"/>
      <c r="J53" s="7"/>
      <c r="K53" s="5"/>
      <c r="L53" s="8"/>
    </row>
    <row r="54" spans="1:12" x14ac:dyDescent="0.2">
      <c r="A54" s="9"/>
      <c r="B54" s="5" t="s">
        <v>14</v>
      </c>
      <c r="C54" s="5"/>
      <c r="D54" s="5"/>
      <c r="E54" s="5"/>
      <c r="F54" s="6"/>
      <c r="G54" s="5"/>
      <c r="H54" s="5"/>
      <c r="I54" s="7"/>
      <c r="J54" s="7"/>
      <c r="K54" s="5"/>
      <c r="L54" s="8"/>
    </row>
    <row r="55" spans="1:12" ht="13.5" thickBot="1" x14ac:dyDescent="0.25">
      <c r="A55" s="11" t="s">
        <v>11</v>
      </c>
      <c r="B55" s="12"/>
      <c r="C55" s="12"/>
      <c r="D55" s="12"/>
      <c r="E55" s="12"/>
      <c r="F55" s="13"/>
      <c r="G55" s="12"/>
      <c r="H55" s="12"/>
      <c r="I55" s="14"/>
      <c r="J55" s="14"/>
      <c r="K55" s="12"/>
      <c r="L55" s="15"/>
    </row>
    <row r="56" spans="1:12" x14ac:dyDescent="0.2">
      <c r="A56" s="2"/>
      <c r="B56" s="2"/>
      <c r="C56" s="2"/>
      <c r="D56" s="2"/>
      <c r="E56" s="2"/>
      <c r="F56" s="3"/>
      <c r="G56" s="2"/>
      <c r="H56" s="2"/>
      <c r="I56" s="4"/>
      <c r="J56" s="4"/>
      <c r="K56" s="2"/>
      <c r="L56" s="2"/>
    </row>
    <row r="57" spans="1:12" x14ac:dyDescent="0.2">
      <c r="C57" t="s">
        <v>44</v>
      </c>
    </row>
    <row r="58" spans="1:12" x14ac:dyDescent="0.2">
      <c r="A58" s="37" t="s">
        <v>45</v>
      </c>
      <c r="B58" s="37" t="str">
        <f>B1</f>
        <v>Merchant_StockInDetail</v>
      </c>
      <c r="C58" s="37"/>
    </row>
    <row r="59" spans="1:12" x14ac:dyDescent="0.2">
      <c r="A59" s="37" t="s">
        <v>46</v>
      </c>
      <c r="B59" s="37"/>
      <c r="C59" s="37"/>
    </row>
    <row r="60" spans="1:12" x14ac:dyDescent="0.2">
      <c r="A60" s="37"/>
      <c r="B60" s="37" t="s">
        <v>47</v>
      </c>
      <c r="C60" s="37"/>
    </row>
    <row r="61" spans="1:12" x14ac:dyDescent="0.2">
      <c r="A61" s="37"/>
      <c r="B61" s="37" t="s">
        <v>48</v>
      </c>
      <c r="C61" s="37"/>
    </row>
    <row r="62" spans="1:12" x14ac:dyDescent="0.2">
      <c r="A62" s="37" t="s">
        <v>49</v>
      </c>
      <c r="B62" s="37" t="str">
        <f>IF(OR($B4="nvarchar",$B4="varchar"),"string",IF($B4="datetime","DateTime",$B4))</f>
        <v>int</v>
      </c>
      <c r="C62" s="37" t="str">
        <f>A4&amp;" "&amp;$C$57</f>
        <v>id  { get; set; }</v>
      </c>
    </row>
    <row r="63" spans="1:12" x14ac:dyDescent="0.2">
      <c r="A63" s="37" t="s">
        <v>49</v>
      </c>
      <c r="B63" s="37" t="str">
        <f t="shared" ref="B63:B74" si="1">IF(OR($B5="nvarchar",$B5="varchar"),"string",IF($B5="datetime","DateTime",$B5))</f>
        <v>string</v>
      </c>
      <c r="C63" s="37" t="str">
        <f t="shared" ref="C63:C74" si="2">A5&amp;" "&amp;$C$57</f>
        <v>ma_nhap_kho  { get; set; }</v>
      </c>
    </row>
    <row r="64" spans="1:12" x14ac:dyDescent="0.2">
      <c r="A64" s="37" t="s">
        <v>49</v>
      </c>
      <c r="B64" s="37" t="str">
        <f t="shared" si="1"/>
        <v>string</v>
      </c>
      <c r="C64" s="37" t="str">
        <f t="shared" si="2"/>
        <v>ma_san_pham  { get; set; }</v>
      </c>
    </row>
    <row r="65" spans="1:3" x14ac:dyDescent="0.2">
      <c r="A65" s="37" t="s">
        <v>49</v>
      </c>
      <c r="B65" s="37" t="str">
        <f t="shared" si="1"/>
        <v>string</v>
      </c>
      <c r="C65" s="37" t="str">
        <f t="shared" si="2"/>
        <v>vi_tri  { get; set; }</v>
      </c>
    </row>
    <row r="66" spans="1:3" x14ac:dyDescent="0.2">
      <c r="A66" s="37" t="s">
        <v>49</v>
      </c>
      <c r="B66" s="37" t="str">
        <f t="shared" si="1"/>
        <v>string</v>
      </c>
      <c r="C66" s="37" t="str">
        <f t="shared" si="2"/>
        <v>don_vi_tinh  { get; set; }</v>
      </c>
    </row>
    <row r="67" spans="1:3" x14ac:dyDescent="0.2">
      <c r="A67" s="37" t="s">
        <v>49</v>
      </c>
      <c r="B67" s="37" t="str">
        <f t="shared" si="1"/>
        <v>int</v>
      </c>
      <c r="C67" s="37" t="str">
        <f t="shared" si="2"/>
        <v>so_luong_yeu_cau  { get; set; }</v>
      </c>
    </row>
    <row r="68" spans="1:3" x14ac:dyDescent="0.2">
      <c r="A68" s="37" t="s">
        <v>49</v>
      </c>
      <c r="B68" s="37" t="str">
        <f t="shared" si="1"/>
        <v>int</v>
      </c>
      <c r="C68" s="37" t="str">
        <f t="shared" si="2"/>
        <v>so_luong_thuc_te  { get; set; }</v>
      </c>
    </row>
    <row r="69" spans="1:3" x14ac:dyDescent="0.2">
      <c r="A69" s="37" t="s">
        <v>49</v>
      </c>
      <c r="B69" s="37" t="str">
        <f t="shared" si="1"/>
        <v>float</v>
      </c>
      <c r="C69" s="37" t="str">
        <f t="shared" si="2"/>
        <v>don_gia  { get; set; }</v>
      </c>
    </row>
    <row r="70" spans="1:3" x14ac:dyDescent="0.2">
      <c r="A70" s="37" t="s">
        <v>49</v>
      </c>
      <c r="B70" s="37" t="str">
        <f t="shared" si="1"/>
        <v>float</v>
      </c>
      <c r="C70" s="37" t="str">
        <f t="shared" si="2"/>
        <v>thanh_tien  { get; set; }</v>
      </c>
    </row>
    <row r="71" spans="1:3" x14ac:dyDescent="0.2">
      <c r="A71" s="37" t="s">
        <v>49</v>
      </c>
      <c r="B71" s="37" t="str">
        <f t="shared" si="1"/>
        <v>string</v>
      </c>
      <c r="C71" s="37" t="str">
        <f t="shared" si="2"/>
        <v>ghi_chu  { get; set; }</v>
      </c>
    </row>
    <row r="72" spans="1:3" x14ac:dyDescent="0.2">
      <c r="A72" s="37" t="s">
        <v>49</v>
      </c>
      <c r="B72" s="37" t="str">
        <f t="shared" si="1"/>
        <v>string</v>
      </c>
      <c r="C72" s="37" t="str">
        <f t="shared" si="2"/>
        <v>trang_thai  { get; set; }</v>
      </c>
    </row>
    <row r="73" spans="1:3" x14ac:dyDescent="0.2">
      <c r="A73" s="37" t="s">
        <v>49</v>
      </c>
      <c r="B73" s="37" t="str">
        <f t="shared" si="1"/>
        <v>string</v>
      </c>
      <c r="C73" s="37" t="str">
        <f t="shared" si="2"/>
        <v>nguoi_tao  { get; set; }</v>
      </c>
    </row>
    <row r="74" spans="1:3" x14ac:dyDescent="0.2">
      <c r="A74" s="37" t="s">
        <v>49</v>
      </c>
      <c r="B74" s="37" t="str">
        <f t="shared" si="1"/>
        <v>DateTime</v>
      </c>
      <c r="C74" s="37" t="str">
        <f t="shared" si="2"/>
        <v>ngay_tao  { get; set; }</v>
      </c>
    </row>
    <row r="75" spans="1:3" x14ac:dyDescent="0.2">
      <c r="A75" s="37" t="s">
        <v>50</v>
      </c>
      <c r="B75" s="37"/>
      <c r="C75" s="37" t="str">
        <f>IF($B25="nvarchar","("&amp;$C$5&amp;")",IF($B25="varchar","("&amp;$C25&amp;")",""))</f>
        <v/>
      </c>
    </row>
    <row r="77" spans="1:3" x14ac:dyDescent="0.2">
      <c r="A77" s="37" t="s">
        <v>72</v>
      </c>
    </row>
    <row r="78" spans="1:3" s="41" customFormat="1" x14ac:dyDescent="0.2">
      <c r="A78" s="40" t="str">
        <f>"DROP TABLE IF EXISTS "&amp;$B$1&amp;";"</f>
        <v>DROP TABLE IF EXISTS Merchant_StockInDetail;</v>
      </c>
    </row>
    <row r="79" spans="1:3" s="41" customFormat="1" x14ac:dyDescent="0.2">
      <c r="A79" s="42" t="str">
        <f>"CREATE TABLE "&amp;$B$1&amp;"("</f>
        <v>CREATE TABLE Merchant_StockInDetail(</v>
      </c>
    </row>
    <row r="80" spans="1:3" s="41" customFormat="1" x14ac:dyDescent="0.2">
      <c r="B80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</row>
    <row r="81" spans="1:2" s="41" customFormat="1" x14ac:dyDescent="0.2">
      <c r="B81" s="41" t="e">
        <f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AUTO_INCREMENT","")&amp;IF(#REF!&lt;&gt;"",", ","")</f>
        <v>#REF!</v>
      </c>
    </row>
    <row r="82" spans="1:2" s="41" customFormat="1" x14ac:dyDescent="0.2">
      <c r="B82" s="41" t="e">
        <f>#REF!&amp;" "&amp;B6&amp;IF(AND(B6&lt;&gt;"int",B6&lt;&gt;"bigint",B6&lt;&gt;"bit",B6&lt;&gt;"float",B6&lt;&gt;"datetime",B6&lt;&gt;"smalldatetime",B6&lt;&gt;"timestamp",B6&lt;&gt;"xml"),"("&amp;C6&amp;") "," ")&amp;""&amp;IF(F6=FALSE,"NOT NULL","NULL")&amp;IF(G6&lt;&gt;""," DEFAULT ("&amp;G6&amp;")","")&amp;IF(H6=TRUE," AUTO_INCREMENT","")&amp;IF(A6&lt;&gt;"",", ","")</f>
        <v>#REF!</v>
      </c>
    </row>
    <row r="83" spans="1:2" s="41" customFormat="1" x14ac:dyDescent="0.2">
      <c r="B83" s="41" t="e">
        <f>A6&amp;"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NULL","NULL")&amp;IF(G7&lt;&gt;""," DEFAULT ("&amp;G7&amp;")","")&amp;IF(H7=TRUE," AUTO_INCREMENT","")&amp;IF(A7&lt;&gt;"",", ","")</f>
        <v>#REF!</v>
      </c>
    </row>
    <row r="84" spans="1:2" s="41" customFormat="1" x14ac:dyDescent="0.2">
      <c r="B84" s="41" t="e">
        <f>A7&amp;" "&amp;B7&amp;IF(AND(B7&lt;&gt;"int",B7&lt;&gt;"bigint",B7&lt;&gt;"bit",B7&lt;&gt;"float",B7&lt;&gt;"datetime",B7&lt;&gt;"smalldatetime",B7&lt;&gt;"timestamp",B7&lt;&gt;"xml"),"("&amp;C7&amp;") "," ")&amp;""&amp;IF(F7=FALSE,"NOT NULL","NULL")&amp;IF(G8&lt;&gt;""," DEFAULT ("&amp;G8&amp;")","")&amp;IF(H8=TRUE," AUTO_INCREMENT","")&amp;IF(#REF!&lt;&gt;"",", ","")</f>
        <v>#REF!</v>
      </c>
    </row>
    <row r="85" spans="1:2" s="41" customFormat="1" x14ac:dyDescent="0.2">
      <c r="B85" s="41" t="e">
        <f>#REF!&amp;" "&amp;#REF!&amp;IF(AND(#REF!&lt;&gt;"int",#REF!&lt;&gt;"bigint",#REF!&lt;&gt;"bit",#REF!&lt;&gt;"float",#REF!&lt;&gt;"datetime",#REF!&lt;&gt;"smalldatetime",#REF!&lt;&gt;"timestamp",#REF!&lt;&gt;"xml"),"("&amp;#REF!&amp;") "," ")&amp;""&amp;IF(#REF!=FALSE,"NOT NULL","NULL")&amp;IF(G9&lt;&gt;""," DEFAULT ("&amp;G9&amp;")","")&amp;IF(H9=TRUE," AUTO_INCREMENT","")&amp;IF(A8&lt;&gt;"",", ","")</f>
        <v>#REF!</v>
      </c>
    </row>
    <row r="86" spans="1:2" s="41" customFormat="1" x14ac:dyDescent="0.2">
      <c r="B86" s="41" t="e">
        <f>A8&amp;" "&amp;B8&amp;IF(AND(B8&lt;&gt;"int",B8&lt;&gt;"bigint",B8&lt;&gt;"bit",B8&lt;&gt;"float",B8&lt;&gt;"datetime",B8&lt;&gt;"smalldatetime",B8&lt;&gt;"timestamp",B8&lt;&gt;"xml"),"("&amp;C8&amp;") "," ")&amp;""&amp;IF(F8=FALSE,"NOT NULL","NULL")&amp;IF(G10&lt;&gt;""," DEFAULT ("&amp;G10&amp;")","")&amp;IF(H10=TRUE," AUTO_INCREMENT","")&amp;IF(#REF!&lt;&gt;"",", ","")</f>
        <v>#REF!</v>
      </c>
    </row>
    <row r="87" spans="1:2" s="41" customFormat="1" x14ac:dyDescent="0.2">
      <c r="A87" s="41" t="s">
        <v>74</v>
      </c>
    </row>
    <row r="88" spans="1:2" s="41" customFormat="1" x14ac:dyDescent="0.2">
      <c r="B88" s="5" t="str">
        <f>IF(D4=TRUE, A4&amp;IF(D5="", "", ", "), "")</f>
        <v xml:space="preserve">id, </v>
      </c>
    </row>
    <row r="89" spans="1:2" s="41" customFormat="1" x14ac:dyDescent="0.2">
      <c r="B89" s="5" t="str">
        <f>IF(D5=TRUE, A5&amp;IF(D6="", "", ", "), "")</f>
        <v>ma_nhap_kho</v>
      </c>
    </row>
    <row r="90" spans="1:2" s="41" customFormat="1" x14ac:dyDescent="0.2">
      <c r="B90" s="5" t="str">
        <f>IF(D6=TRUE,#REF!&amp;IF( D7="", "", ", "), "")</f>
        <v/>
      </c>
    </row>
    <row r="91" spans="1:2" s="41" customFormat="1" x14ac:dyDescent="0.2">
      <c r="B91" s="41" t="s">
        <v>75</v>
      </c>
    </row>
    <row r="92" spans="1:2" s="41" customFormat="1" x14ac:dyDescent="0.2">
      <c r="A92" s="41" t="s">
        <v>73</v>
      </c>
    </row>
    <row r="93" spans="1:2" s="41" customFormat="1" x14ac:dyDescent="0.2"/>
    <row r="94" spans="1:2" s="41" customFormat="1" x14ac:dyDescent="0.2"/>
    <row r="95" spans="1:2" s="41" customFormat="1" x14ac:dyDescent="0.2"/>
    <row r="96" spans="1:2" s="41" customFormat="1" x14ac:dyDescent="0.2"/>
  </sheetData>
  <mergeCells count="1">
    <mergeCell ref="A25:B25"/>
  </mergeCells>
  <hyperlinks>
    <hyperlink ref="D1" location="'Sheet List'!A1" display="back to list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8"/>
  <sheetViews>
    <sheetView workbookViewId="0">
      <selection activeCell="Q74" sqref="Q74"/>
    </sheetView>
  </sheetViews>
  <sheetFormatPr defaultRowHeight="12.75" x14ac:dyDescent="0.2"/>
  <cols>
    <col min="1" max="1" width="17.140625" customWidth="1"/>
    <col min="3" max="3" width="18.85546875" customWidth="1"/>
  </cols>
  <sheetData>
    <row r="1" spans="1:10" x14ac:dyDescent="0.2">
      <c r="A1" s="1" t="s">
        <v>8</v>
      </c>
      <c r="B1" s="1" t="s">
        <v>219</v>
      </c>
      <c r="D1" s="26" t="s">
        <v>18</v>
      </c>
    </row>
    <row r="3" spans="1:10" x14ac:dyDescent="0.2">
      <c r="A3" s="19" t="s">
        <v>0</v>
      </c>
      <c r="B3" s="20" t="s">
        <v>1</v>
      </c>
      <c r="C3" s="20" t="s">
        <v>15</v>
      </c>
      <c r="D3" s="20" t="s">
        <v>2</v>
      </c>
      <c r="E3" s="20" t="s">
        <v>3</v>
      </c>
      <c r="F3" s="20" t="s">
        <v>4</v>
      </c>
      <c r="G3" s="20" t="s">
        <v>5</v>
      </c>
      <c r="H3" s="20" t="s">
        <v>16</v>
      </c>
      <c r="I3" s="21" t="s">
        <v>6</v>
      </c>
      <c r="J3" s="25"/>
    </row>
    <row r="4" spans="1:10" x14ac:dyDescent="0.2">
      <c r="A4" s="22" t="s">
        <v>25</v>
      </c>
      <c r="B4" s="23" t="s">
        <v>19</v>
      </c>
      <c r="C4" s="27"/>
      <c r="D4" s="23" t="b">
        <v>1</v>
      </c>
      <c r="E4" s="23"/>
      <c r="F4" s="23" t="b">
        <v>0</v>
      </c>
      <c r="G4" s="23"/>
      <c r="H4" s="23" t="b">
        <v>1</v>
      </c>
      <c r="I4" s="24"/>
      <c r="J4" s="25"/>
    </row>
    <row r="5" spans="1:10" x14ac:dyDescent="0.2">
      <c r="A5" s="53" t="s">
        <v>220</v>
      </c>
      <c r="B5" s="23" t="s">
        <v>7</v>
      </c>
      <c r="C5" s="27">
        <v>20</v>
      </c>
      <c r="D5" s="23" t="b">
        <v>1</v>
      </c>
      <c r="E5" s="23"/>
      <c r="F5" s="23" t="b">
        <v>0</v>
      </c>
      <c r="G5" s="23"/>
      <c r="H5" s="23"/>
      <c r="I5" s="24"/>
      <c r="J5" s="25"/>
    </row>
    <row r="6" spans="1:10" x14ac:dyDescent="0.2">
      <c r="A6" s="22" t="s">
        <v>221</v>
      </c>
      <c r="B6" s="23" t="s">
        <v>7</v>
      </c>
      <c r="C6" s="27">
        <v>500</v>
      </c>
      <c r="D6" s="23"/>
      <c r="E6" s="23"/>
      <c r="F6" s="23" t="b">
        <v>0</v>
      </c>
      <c r="G6" s="23"/>
      <c r="H6" s="23"/>
      <c r="I6" s="24"/>
      <c r="J6" s="25"/>
    </row>
    <row r="7" spans="1:10" x14ac:dyDescent="0.2">
      <c r="A7" s="22" t="s">
        <v>222</v>
      </c>
      <c r="B7" s="23" t="s">
        <v>7</v>
      </c>
      <c r="C7" s="27">
        <v>1000</v>
      </c>
      <c r="D7" s="23"/>
      <c r="E7" s="23"/>
      <c r="F7" s="23" t="b">
        <v>0</v>
      </c>
      <c r="G7" s="23"/>
      <c r="H7" s="23"/>
      <c r="I7" s="24"/>
      <c r="J7" s="25"/>
    </row>
    <row r="8" spans="1:10" x14ac:dyDescent="0.2">
      <c r="A8" s="22" t="s">
        <v>51</v>
      </c>
      <c r="B8" s="23" t="s">
        <v>7</v>
      </c>
      <c r="C8" s="27">
        <v>50</v>
      </c>
      <c r="D8" s="23"/>
      <c r="E8" s="23"/>
      <c r="F8" s="23" t="b">
        <v>0</v>
      </c>
      <c r="G8" s="23"/>
      <c r="H8" s="23"/>
      <c r="I8" s="24"/>
      <c r="J8" s="25"/>
    </row>
    <row r="9" spans="1:10" x14ac:dyDescent="0.2">
      <c r="A9" s="22" t="s">
        <v>43</v>
      </c>
      <c r="B9" s="23" t="s">
        <v>7</v>
      </c>
      <c r="C9" s="27">
        <v>1000</v>
      </c>
      <c r="D9" s="23"/>
      <c r="E9" s="23"/>
      <c r="F9" s="23" t="b">
        <v>1</v>
      </c>
      <c r="G9" s="23"/>
      <c r="H9" s="23"/>
      <c r="I9" s="24"/>
      <c r="J9" s="25"/>
    </row>
    <row r="10" spans="1:10" x14ac:dyDescent="0.2">
      <c r="A10" s="22" t="s">
        <v>22</v>
      </c>
      <c r="B10" s="23" t="s">
        <v>20</v>
      </c>
      <c r="C10" s="27">
        <v>128</v>
      </c>
      <c r="D10" s="23"/>
      <c r="E10" s="23"/>
      <c r="F10" s="23" t="b">
        <v>0</v>
      </c>
      <c r="G10" s="23"/>
      <c r="H10" s="23"/>
      <c r="I10" s="24"/>
      <c r="J10" s="25"/>
    </row>
    <row r="11" spans="1:10" x14ac:dyDescent="0.2">
      <c r="A11" s="22" t="s">
        <v>21</v>
      </c>
      <c r="B11" s="23" t="s">
        <v>9</v>
      </c>
      <c r="C11" s="27"/>
      <c r="D11" s="23"/>
      <c r="E11" s="23"/>
      <c r="F11" s="23" t="b">
        <v>0</v>
      </c>
      <c r="G11" s="23"/>
      <c r="H11" s="23"/>
      <c r="I11" s="24"/>
      <c r="J11" s="25"/>
    </row>
    <row r="12" spans="1:10" x14ac:dyDescent="0.2">
      <c r="A12" s="22" t="s">
        <v>24</v>
      </c>
      <c r="B12" s="23" t="s">
        <v>20</v>
      </c>
      <c r="C12" s="27">
        <v>128</v>
      </c>
      <c r="D12" s="23"/>
      <c r="E12" s="23"/>
      <c r="F12" s="23" t="b">
        <v>1</v>
      </c>
      <c r="G12" s="23"/>
      <c r="H12" s="23"/>
      <c r="I12" s="24"/>
      <c r="J12" s="25"/>
    </row>
    <row r="13" spans="1:10" x14ac:dyDescent="0.2">
      <c r="A13" s="22" t="s">
        <v>23</v>
      </c>
      <c r="B13" s="23" t="s">
        <v>9</v>
      </c>
      <c r="C13" s="27"/>
      <c r="D13" s="23"/>
      <c r="E13" s="23"/>
      <c r="F13" s="23" t="b">
        <v>1</v>
      </c>
      <c r="G13" s="23"/>
      <c r="H13" s="23"/>
      <c r="I13" s="24"/>
      <c r="J13" s="25"/>
    </row>
    <row r="14" spans="1:10" x14ac:dyDescent="0.2">
      <c r="A14" s="22"/>
      <c r="B14" s="23"/>
      <c r="C14" s="27"/>
      <c r="D14" s="23"/>
      <c r="E14" s="23"/>
      <c r="F14" s="23"/>
      <c r="G14" s="23"/>
      <c r="H14" s="23"/>
      <c r="I14" s="24"/>
      <c r="J14" s="25"/>
    </row>
    <row r="15" spans="1:10" x14ac:dyDescent="0.2">
      <c r="A15" s="22"/>
      <c r="B15" s="23"/>
      <c r="C15" s="27"/>
      <c r="D15" s="23"/>
      <c r="E15" s="23"/>
      <c r="F15" s="23"/>
      <c r="G15" s="23"/>
      <c r="H15" s="23"/>
      <c r="I15" s="24"/>
      <c r="J15" s="25"/>
    </row>
    <row r="16" spans="1:10" x14ac:dyDescent="0.2">
      <c r="A16" s="22"/>
      <c r="B16" s="23"/>
      <c r="C16" s="27"/>
      <c r="D16" s="23"/>
      <c r="E16" s="23"/>
      <c r="F16" s="23"/>
      <c r="G16" s="23"/>
      <c r="H16" s="23"/>
      <c r="I16" s="24"/>
      <c r="J16" s="25"/>
    </row>
    <row r="17" spans="1:11" x14ac:dyDescent="0.2">
      <c r="A17" s="22"/>
      <c r="B17" s="23"/>
      <c r="C17" s="27"/>
      <c r="D17" s="23"/>
      <c r="E17" s="23"/>
      <c r="F17" s="23"/>
      <c r="G17" s="23"/>
      <c r="H17" s="23"/>
      <c r="I17" s="24"/>
      <c r="J17" s="25"/>
    </row>
    <row r="18" spans="1:11" x14ac:dyDescent="0.2">
      <c r="A18" s="22"/>
      <c r="B18" s="23"/>
      <c r="C18" s="27"/>
      <c r="D18" s="23"/>
      <c r="E18" s="23"/>
      <c r="F18" s="23"/>
      <c r="G18" s="23"/>
      <c r="H18" s="23"/>
      <c r="I18" s="24"/>
      <c r="J18" s="25"/>
    </row>
    <row r="19" spans="1:11" ht="13.5" thickBot="1" x14ac:dyDescent="0.25"/>
    <row r="20" spans="1:11" ht="13.5" thickBot="1" x14ac:dyDescent="0.25">
      <c r="A20" s="60" t="s">
        <v>10</v>
      </c>
      <c r="B20" s="61"/>
      <c r="C20" s="16"/>
      <c r="D20" s="17"/>
      <c r="E20" s="17"/>
      <c r="F20" s="18"/>
      <c r="G20" s="18"/>
      <c r="H20" s="18"/>
      <c r="I20" s="18"/>
      <c r="J20" s="18"/>
      <c r="K20" s="18"/>
    </row>
    <row r="21" spans="1:11" x14ac:dyDescent="0.2">
      <c r="A21" s="5"/>
      <c r="B21" s="5"/>
      <c r="C21" s="5"/>
      <c r="D21" s="5"/>
      <c r="E21" s="5"/>
      <c r="F21" s="6"/>
      <c r="G21" s="5"/>
      <c r="H21" s="5"/>
      <c r="I21" s="7"/>
      <c r="J21" s="7"/>
      <c r="K21" s="5"/>
    </row>
    <row r="22" spans="1:11" x14ac:dyDescent="0.2">
      <c r="A22" s="5" t="str">
        <f>"if exists (select * from dbo.sysobjects where id = object_id(N'[dbo].["&amp;$B$1&amp;"]') and OBJECTPROPERTY(id, N'IsUserTable') = 1)"</f>
        <v>if exists (select * from dbo.sysobjects where id = object_id(N'[dbo].[BrandManagement]') and OBJECTPROPERTY(id, N'IsUserTable') = 1)</v>
      </c>
      <c r="B22" s="5"/>
      <c r="C22" s="5"/>
      <c r="D22" s="5"/>
      <c r="E22" s="5"/>
      <c r="F22" s="6"/>
      <c r="G22" s="5"/>
      <c r="H22" s="5"/>
      <c r="I22" s="7"/>
      <c r="J22" s="7"/>
      <c r="K22" s="5"/>
    </row>
    <row r="23" spans="1:11" x14ac:dyDescent="0.2">
      <c r="A23" s="9" t="str">
        <f>"drop table [dbo].["&amp;$B$1&amp;"]"</f>
        <v>drop table [dbo].[BrandManagement]</v>
      </c>
      <c r="B23" s="5"/>
      <c r="C23" s="5"/>
      <c r="D23" s="5"/>
      <c r="E23" s="5"/>
      <c r="F23" s="6"/>
      <c r="G23" s="5"/>
      <c r="H23" s="5"/>
      <c r="I23" s="7"/>
      <c r="J23" s="7"/>
      <c r="K23" s="5"/>
    </row>
    <row r="24" spans="1:11" x14ac:dyDescent="0.2">
      <c r="A24" s="9" t="s">
        <v>11</v>
      </c>
      <c r="B24" s="5"/>
      <c r="C24" s="5"/>
      <c r="D24" s="5"/>
      <c r="E24" s="5"/>
      <c r="F24" s="6"/>
      <c r="G24" s="5"/>
      <c r="H24" s="5"/>
      <c r="I24" s="7"/>
      <c r="J24" s="7"/>
      <c r="K24" s="5"/>
    </row>
    <row r="25" spans="1:11" x14ac:dyDescent="0.2">
      <c r="A25" s="9"/>
      <c r="B25" s="5"/>
      <c r="C25" s="5"/>
      <c r="D25" s="5"/>
      <c r="E25" s="5"/>
      <c r="F25" s="6"/>
      <c r="G25" s="5"/>
      <c r="H25" s="5"/>
      <c r="I25" s="7"/>
      <c r="J25" s="7"/>
      <c r="K25" s="5"/>
    </row>
    <row r="26" spans="1:11" x14ac:dyDescent="0.2">
      <c r="A26" s="10" t="str">
        <f>"CREATE TABLE [dbo].["&amp;$B$1&amp;"] ("</f>
        <v>CREATE TABLE [dbo].[BrandManagement] (</v>
      </c>
      <c r="B26" s="5"/>
      <c r="C26" s="5"/>
      <c r="D26" s="5"/>
      <c r="E26" s="5"/>
      <c r="F26" s="6"/>
      <c r="G26" s="5"/>
      <c r="H26" s="5"/>
      <c r="I26" s="7"/>
      <c r="J26" s="7"/>
      <c r="K26" s="5"/>
    </row>
    <row r="27" spans="1:11" x14ac:dyDescent="0.2">
      <c r="A27" s="10"/>
      <c r="B27" s="5" t="str">
        <f>"["&amp;A4&amp;"] ["&amp;B4&amp;"]"&amp;IF(H4=TRUE, " IDENTITY (1,1)","")&amp;IF(AND(B4&lt;&gt;"int",B4&lt;&gt;"bigint",B4&lt;&gt;"bit",B4&lt;&gt;"float",B4&lt;&gt;"datetime",B4&lt;&gt;"smalldatetime",B4&lt;&gt;"timestamp",B4&lt;&gt;"xml")," ("&amp;C4&amp;") "," ")&amp;""&amp;IF(F4=FALSE,"NOT NULL","NULL")&amp;IF(G4&lt;&gt;""," DEFAULT ("&amp;G4&amp;")","")&amp;IF(A5&lt;&gt;"",", ", "")</f>
        <v xml:space="preserve">[id] [int] IDENTITY (1,1) NOT NULL, </v>
      </c>
      <c r="C27" s="5"/>
      <c r="D27" s="5"/>
      <c r="E27" s="5"/>
      <c r="F27" s="6"/>
      <c r="G27" s="5"/>
      <c r="H27" s="5"/>
      <c r="I27" s="7"/>
      <c r="J27" s="7"/>
      <c r="K27" s="5"/>
    </row>
    <row r="28" spans="1:11" x14ac:dyDescent="0.2">
      <c r="A28" s="10"/>
      <c r="B28" s="5" t="str">
        <f t="shared" ref="B28:B36" si="0">"["&amp;A5&amp;"] ["&amp;B5&amp;"]"&amp;IF(H5=TRUE, " IDENTITY (1,1)","")&amp;IF(AND(B5&lt;&gt;"int",B5&lt;&gt;"bigint",B5&lt;&gt;"bit",B5&lt;&gt;"float",B5&lt;&gt;"datetime",B5&lt;&gt;"smalldatetime",B5&lt;&gt;"timestamp",B5&lt;&gt;"xml")," ("&amp;C5&amp;") "," ")&amp;""&amp;IF(F5=FALSE,"NOT NULL","NULL")&amp;IF(G5&lt;&gt;""," DEFAULT ("&amp;G5&amp;")","")&amp;IF(A6&lt;&gt;"",", ", "")</f>
        <v xml:space="preserve">[ma_thuong_hieu] [varchar] (20) NOT NULL, </v>
      </c>
      <c r="C28" s="5"/>
      <c r="D28" s="5"/>
      <c r="E28" s="5"/>
      <c r="F28" s="6"/>
      <c r="G28" s="5"/>
      <c r="H28" s="5"/>
      <c r="I28" s="7"/>
      <c r="J28" s="7"/>
      <c r="K28" s="5"/>
    </row>
    <row r="29" spans="1:11" x14ac:dyDescent="0.2">
      <c r="A29" s="10"/>
      <c r="B29" s="5" t="str">
        <f t="shared" si="0"/>
        <v xml:space="preserve">[ten_thuong_hieu] [varchar] (500) NOT NULL, </v>
      </c>
      <c r="C29" s="5"/>
      <c r="D29" s="5"/>
      <c r="E29" s="5"/>
      <c r="F29" s="6"/>
      <c r="G29" s="5"/>
      <c r="H29" s="5"/>
      <c r="I29" s="7"/>
      <c r="J29" s="7"/>
      <c r="K29" s="5"/>
    </row>
    <row r="30" spans="1:11" x14ac:dyDescent="0.2">
      <c r="A30" s="10"/>
      <c r="B30" s="5" t="str">
        <f t="shared" si="0"/>
        <v xml:space="preserve">[logo] [varchar] (1000) NOT NULL, </v>
      </c>
      <c r="C30" s="5"/>
      <c r="D30" s="5"/>
      <c r="E30" s="5"/>
      <c r="F30" s="6"/>
      <c r="G30" s="5"/>
      <c r="H30" s="5"/>
      <c r="I30" s="7"/>
      <c r="J30" s="7"/>
      <c r="K30" s="5"/>
    </row>
    <row r="31" spans="1:11" x14ac:dyDescent="0.2">
      <c r="A31" s="10"/>
      <c r="B31" s="5" t="str">
        <f t="shared" si="0"/>
        <v xml:space="preserve">[trang_thai] [varchar] (50) NOT NULL, </v>
      </c>
      <c r="C31" s="5"/>
      <c r="D31" s="5"/>
      <c r="E31" s="5"/>
      <c r="F31" s="6"/>
      <c r="G31" s="5"/>
      <c r="H31" s="5"/>
      <c r="I31" s="7"/>
      <c r="J31" s="7"/>
      <c r="K31" s="5"/>
    </row>
    <row r="32" spans="1:11" x14ac:dyDescent="0.2">
      <c r="A32" s="10"/>
      <c r="B32" s="5" t="str">
        <f t="shared" si="0"/>
        <v xml:space="preserve">[mo_ta] [varchar] (1000) NULL, </v>
      </c>
      <c r="C32" s="5"/>
      <c r="D32" s="5"/>
      <c r="E32" s="5"/>
      <c r="F32" s="6"/>
      <c r="G32" s="5"/>
      <c r="H32" s="5"/>
      <c r="I32" s="7"/>
      <c r="J32" s="7"/>
      <c r="K32" s="5"/>
    </row>
    <row r="33" spans="1:11" x14ac:dyDescent="0.2">
      <c r="A33" s="10"/>
      <c r="B33" s="5" t="str">
        <f t="shared" si="0"/>
        <v xml:space="preserve">[nguoi_tao] [nvarchar] (128) NOT NULL, </v>
      </c>
      <c r="C33" s="5"/>
      <c r="D33" s="5"/>
      <c r="E33" s="5"/>
      <c r="F33" s="6"/>
      <c r="G33" s="5"/>
      <c r="H33" s="5"/>
      <c r="I33" s="7"/>
      <c r="J33" s="7"/>
      <c r="K33" s="5"/>
    </row>
    <row r="34" spans="1:11" x14ac:dyDescent="0.2">
      <c r="A34" s="10"/>
      <c r="B34" s="5" t="str">
        <f t="shared" si="0"/>
        <v xml:space="preserve">[ngay_tao] [datetime] NOT NULL, </v>
      </c>
      <c r="C34" s="5"/>
      <c r="D34" s="5"/>
      <c r="E34" s="5"/>
      <c r="F34" s="6"/>
      <c r="G34" s="5"/>
      <c r="H34" s="5"/>
      <c r="I34" s="7"/>
      <c r="J34" s="7"/>
      <c r="K34" s="5"/>
    </row>
    <row r="35" spans="1:11" x14ac:dyDescent="0.2">
      <c r="A35" s="10"/>
      <c r="B35" s="5" t="str">
        <f t="shared" si="0"/>
        <v xml:space="preserve">[nguoi_cap_nhat] [nvarchar] (128) NULL, </v>
      </c>
      <c r="C35" s="5"/>
      <c r="D35" s="5"/>
      <c r="E35" s="5"/>
      <c r="F35" s="6"/>
      <c r="G35" s="5"/>
      <c r="H35" s="5"/>
      <c r="I35" s="7"/>
      <c r="J35" s="7"/>
      <c r="K35" s="5"/>
    </row>
    <row r="36" spans="1:11" x14ac:dyDescent="0.2">
      <c r="A36" s="10"/>
      <c r="B36" s="5" t="str">
        <f t="shared" si="0"/>
        <v>[ngay_cap_nhat] [datetime] NULL</v>
      </c>
      <c r="C36" s="5"/>
      <c r="D36" s="5"/>
      <c r="E36" s="5"/>
      <c r="F36" s="6"/>
      <c r="G36" s="5"/>
      <c r="H36" s="5"/>
      <c r="I36" s="7"/>
      <c r="J36" s="7"/>
      <c r="K36" s="5"/>
    </row>
    <row r="37" spans="1:11" x14ac:dyDescent="0.2">
      <c r="A37" s="9" t="s">
        <v>12</v>
      </c>
      <c r="B37" s="5"/>
      <c r="C37" s="5"/>
      <c r="D37" s="5"/>
      <c r="E37" s="5"/>
      <c r="F37" s="6"/>
      <c r="G37" s="5"/>
      <c r="H37" s="5"/>
      <c r="I37" s="7"/>
      <c r="J37" s="7"/>
      <c r="K37" s="5"/>
    </row>
    <row r="38" spans="1:11" x14ac:dyDescent="0.2">
      <c r="A38" s="9" t="s">
        <v>11</v>
      </c>
      <c r="B38" s="5"/>
      <c r="C38" s="5"/>
      <c r="D38" s="5"/>
      <c r="E38" s="5"/>
      <c r="F38" s="6"/>
      <c r="G38" s="5"/>
      <c r="H38" s="5"/>
      <c r="I38" s="7"/>
      <c r="J38" s="7"/>
      <c r="K38" s="5"/>
    </row>
    <row r="39" spans="1:11" x14ac:dyDescent="0.2">
      <c r="A39" s="9"/>
      <c r="B39" s="5"/>
      <c r="C39" s="5"/>
      <c r="D39" s="5"/>
      <c r="E39" s="5"/>
      <c r="F39" s="6"/>
      <c r="G39" s="5"/>
      <c r="H39" s="5"/>
      <c r="I39" s="7"/>
      <c r="J39" s="7"/>
      <c r="K39" s="5"/>
    </row>
    <row r="40" spans="1:11" x14ac:dyDescent="0.2">
      <c r="A40" s="9" t="str">
        <f>"ALTER TABLE [dbo].["&amp;$B$1&amp;"] ADD"</f>
        <v>ALTER TABLE [dbo].[BrandManagement] ADD</v>
      </c>
      <c r="B40" s="5"/>
      <c r="C40" s="5"/>
      <c r="D40" s="5"/>
      <c r="E40" s="5"/>
      <c r="F40" s="6"/>
      <c r="G40" s="5"/>
      <c r="H40" s="5"/>
      <c r="I40" s="7"/>
      <c r="J40" s="7"/>
      <c r="K40" s="5"/>
    </row>
    <row r="41" spans="1:11" x14ac:dyDescent="0.2">
      <c r="A41" s="9"/>
      <c r="B41" s="5" t="str">
        <f>"CONSTRAINT [PK_"&amp;$B$1&amp;"] PRIMARY KEY  CLUSTERED"</f>
        <v>CONSTRAINT [PK_BrandManagement] PRIMARY KEY  CLUSTERED</v>
      </c>
      <c r="C41" s="5"/>
      <c r="D41" s="5"/>
      <c r="E41" s="5"/>
      <c r="F41" s="6"/>
      <c r="G41" s="5"/>
      <c r="H41" s="5"/>
      <c r="I41" s="7"/>
      <c r="J41" s="7"/>
      <c r="K41" s="5"/>
    </row>
    <row r="42" spans="1:11" x14ac:dyDescent="0.2">
      <c r="A42" s="9"/>
      <c r="B42" s="5" t="s">
        <v>13</v>
      </c>
      <c r="C42" s="5"/>
      <c r="D42" s="5"/>
      <c r="E42" s="5"/>
      <c r="F42" s="6"/>
      <c r="G42" s="5"/>
      <c r="H42" s="5"/>
      <c r="I42" s="7"/>
      <c r="J42" s="7"/>
      <c r="K42" s="5"/>
    </row>
    <row r="43" spans="1:11" x14ac:dyDescent="0.2">
      <c r="A43" s="9"/>
      <c r="B43" s="5"/>
      <c r="C43" s="5" t="str">
        <f>IF(D4=TRUE, "["&amp;A4&amp;"]"&amp;IF(D5="", "", ", "), "")</f>
        <v xml:space="preserve">[id], </v>
      </c>
      <c r="D43" s="5"/>
      <c r="E43" s="5"/>
      <c r="F43" s="6"/>
      <c r="G43" s="5"/>
      <c r="H43" s="5"/>
      <c r="I43" s="7"/>
      <c r="J43" s="7"/>
      <c r="K43" s="5"/>
    </row>
    <row r="44" spans="1:11" x14ac:dyDescent="0.2">
      <c r="A44" s="9"/>
      <c r="B44" s="5"/>
      <c r="C44" s="5" t="str">
        <f>IF(D5=TRUE, "["&amp;A5&amp;"]"&amp;IF(D6="", "", ", "), "")</f>
        <v>[ma_thuong_hieu]</v>
      </c>
      <c r="D44" s="5"/>
      <c r="E44" s="5"/>
      <c r="F44" s="6"/>
      <c r="G44" s="5"/>
      <c r="H44" s="5"/>
      <c r="I44" s="7"/>
      <c r="J44" s="7"/>
      <c r="K44" s="5"/>
    </row>
    <row r="45" spans="1:11" x14ac:dyDescent="0.2">
      <c r="A45" s="9"/>
      <c r="B45" s="5"/>
      <c r="C45" s="5" t="str">
        <f>IF(D6=TRUE, "["&amp;#REF!&amp;"]"&amp;IF(D8="", "", ", "), "")</f>
        <v/>
      </c>
      <c r="D45" s="5"/>
      <c r="E45" s="5"/>
      <c r="F45" s="6"/>
      <c r="G45" s="5"/>
      <c r="H45" s="5"/>
      <c r="I45" s="7"/>
      <c r="J45" s="7"/>
      <c r="K45" s="5"/>
    </row>
    <row r="46" spans="1:11" x14ac:dyDescent="0.2">
      <c r="A46" s="9"/>
      <c r="B46" s="5" t="s">
        <v>14</v>
      </c>
      <c r="C46" s="5"/>
      <c r="D46" s="5"/>
      <c r="E46" s="5"/>
      <c r="F46" s="6"/>
      <c r="G46" s="5"/>
      <c r="H46" s="5"/>
      <c r="I46" s="7"/>
      <c r="J46" s="7"/>
      <c r="K46" s="5"/>
    </row>
    <row r="47" spans="1:11" ht="13.5" thickBot="1" x14ac:dyDescent="0.25">
      <c r="A47" s="11" t="s">
        <v>11</v>
      </c>
      <c r="B47" s="12"/>
      <c r="C47" s="12"/>
      <c r="D47" s="12"/>
      <c r="E47" s="12"/>
      <c r="F47" s="13"/>
      <c r="G47" s="12"/>
      <c r="H47" s="12"/>
      <c r="I47" s="14"/>
      <c r="J47" s="14"/>
      <c r="K47" s="12"/>
    </row>
    <row r="48" spans="1:11" x14ac:dyDescent="0.2">
      <c r="A48" s="2"/>
      <c r="B48" s="2"/>
      <c r="C48" s="2"/>
      <c r="D48" s="2"/>
      <c r="E48" s="2"/>
      <c r="F48" s="3"/>
      <c r="G48" s="2"/>
      <c r="H48" s="2"/>
      <c r="I48" s="4"/>
      <c r="J48" s="4"/>
      <c r="K48" s="2"/>
    </row>
    <row r="49" spans="1:3" x14ac:dyDescent="0.2">
      <c r="C49" t="s">
        <v>44</v>
      </c>
    </row>
    <row r="50" spans="1:3" x14ac:dyDescent="0.2">
      <c r="A50" s="37" t="s">
        <v>45</v>
      </c>
      <c r="B50" s="37" t="str">
        <f>B1</f>
        <v>BrandManagement</v>
      </c>
      <c r="C50" s="37"/>
    </row>
    <row r="51" spans="1:3" x14ac:dyDescent="0.2">
      <c r="A51" s="37" t="s">
        <v>46</v>
      </c>
      <c r="B51" s="37"/>
      <c r="C51" s="37"/>
    </row>
    <row r="52" spans="1:3" x14ac:dyDescent="0.2">
      <c r="A52" s="37"/>
      <c r="B52" s="37" t="s">
        <v>47</v>
      </c>
      <c r="C52" s="37"/>
    </row>
    <row r="53" spans="1:3" x14ac:dyDescent="0.2">
      <c r="A53" s="37"/>
      <c r="B53" s="37" t="s">
        <v>48</v>
      </c>
      <c r="C53" s="37"/>
    </row>
    <row r="54" spans="1:3" x14ac:dyDescent="0.2">
      <c r="A54" s="37" t="s">
        <v>49</v>
      </c>
      <c r="B54" s="37" t="str">
        <f>IF(OR($B4="nvarchar",$B4="varchar"),"string",IF($B4="datetime","DateTime",$B4))</f>
        <v>int</v>
      </c>
      <c r="C54" s="37" t="str">
        <f>A4&amp;" "&amp;$C$49</f>
        <v>id  { get; set; }</v>
      </c>
    </row>
    <row r="55" spans="1:3" x14ac:dyDescent="0.2">
      <c r="A55" s="37" t="s">
        <v>49</v>
      </c>
      <c r="B55" s="37" t="str">
        <f t="shared" ref="B55:B63" si="1">IF(OR($B5="nvarchar",$B5="varchar"),"string",IF($B5="datetime","DateTime",$B5))</f>
        <v>string</v>
      </c>
      <c r="C55" s="37" t="str">
        <f t="shared" ref="C55:C63" si="2">A5&amp;" "&amp;$C$49</f>
        <v>ma_thuong_hieu  { get; set; }</v>
      </c>
    </row>
    <row r="56" spans="1:3" x14ac:dyDescent="0.2">
      <c r="A56" s="37" t="s">
        <v>49</v>
      </c>
      <c r="B56" s="37" t="str">
        <f t="shared" si="1"/>
        <v>string</v>
      </c>
      <c r="C56" s="37" t="str">
        <f t="shared" si="2"/>
        <v>ten_thuong_hieu  { get; set; }</v>
      </c>
    </row>
    <row r="57" spans="1:3" x14ac:dyDescent="0.2">
      <c r="A57" s="37" t="s">
        <v>49</v>
      </c>
      <c r="B57" s="37" t="str">
        <f t="shared" si="1"/>
        <v>string</v>
      </c>
      <c r="C57" s="37" t="str">
        <f t="shared" si="2"/>
        <v>logo  { get; set; }</v>
      </c>
    </row>
    <row r="58" spans="1:3" x14ac:dyDescent="0.2">
      <c r="A58" s="37" t="s">
        <v>49</v>
      </c>
      <c r="B58" s="37" t="str">
        <f t="shared" si="1"/>
        <v>string</v>
      </c>
      <c r="C58" s="37" t="str">
        <f t="shared" si="2"/>
        <v>trang_thai  { get; set; }</v>
      </c>
    </row>
    <row r="59" spans="1:3" x14ac:dyDescent="0.2">
      <c r="A59" s="37" t="s">
        <v>49</v>
      </c>
      <c r="B59" s="37" t="str">
        <f t="shared" si="1"/>
        <v>string</v>
      </c>
      <c r="C59" s="37" t="str">
        <f t="shared" si="2"/>
        <v>mo_ta  { get; set; }</v>
      </c>
    </row>
    <row r="60" spans="1:3" x14ac:dyDescent="0.2">
      <c r="A60" s="37" t="s">
        <v>49</v>
      </c>
      <c r="B60" s="37" t="str">
        <f t="shared" si="1"/>
        <v>string</v>
      </c>
      <c r="C60" s="37" t="str">
        <f t="shared" si="2"/>
        <v>nguoi_tao  { get; set; }</v>
      </c>
    </row>
    <row r="61" spans="1:3" x14ac:dyDescent="0.2">
      <c r="A61" s="37" t="s">
        <v>49</v>
      </c>
      <c r="B61" s="37" t="str">
        <f t="shared" si="1"/>
        <v>DateTime</v>
      </c>
      <c r="C61" s="37" t="str">
        <f t="shared" si="2"/>
        <v>ngay_tao  { get; set; }</v>
      </c>
    </row>
    <row r="62" spans="1:3" x14ac:dyDescent="0.2">
      <c r="A62" s="37" t="s">
        <v>49</v>
      </c>
      <c r="B62" s="37" t="str">
        <f t="shared" si="1"/>
        <v>string</v>
      </c>
      <c r="C62" s="37" t="str">
        <f t="shared" si="2"/>
        <v>nguoi_cap_nhat  { get; set; }</v>
      </c>
    </row>
    <row r="63" spans="1:3" x14ac:dyDescent="0.2">
      <c r="A63" s="37" t="s">
        <v>49</v>
      </c>
      <c r="B63" s="37" t="str">
        <f t="shared" si="1"/>
        <v>DateTime</v>
      </c>
      <c r="C63" s="37" t="str">
        <f t="shared" si="2"/>
        <v>ngay_cap_nhat  { get; set; }</v>
      </c>
    </row>
    <row r="64" spans="1:3" x14ac:dyDescent="0.2">
      <c r="A64" s="37" t="s">
        <v>50</v>
      </c>
      <c r="B64" s="37"/>
      <c r="C64" s="37" t="str">
        <f>IF($B20="nvarchar","("&amp;$C$5&amp;")",IF($B20="varchar","("&amp;$C20&amp;")",""))</f>
        <v/>
      </c>
    </row>
    <row r="66" spans="1:11" x14ac:dyDescent="0.2">
      <c r="A66" s="37" t="s">
        <v>72</v>
      </c>
    </row>
    <row r="67" spans="1:11" x14ac:dyDescent="0.2">
      <c r="A67" s="40" t="str">
        <f>"DROP TABLE IF EXISTS "&amp;$B$1&amp;";"</f>
        <v>DROP TABLE IF EXISTS BrandManagement;</v>
      </c>
      <c r="B67" s="41"/>
      <c r="C67" s="41"/>
      <c r="D67" s="41"/>
      <c r="E67" s="41"/>
      <c r="F67" s="41"/>
      <c r="G67" s="41"/>
      <c r="H67" s="41"/>
      <c r="I67" s="41"/>
      <c r="J67" s="41"/>
      <c r="K67" s="41"/>
    </row>
    <row r="68" spans="1:11" x14ac:dyDescent="0.2">
      <c r="A68" s="42" t="str">
        <f>"CREATE TABLE "&amp;$B$1&amp;"("</f>
        <v>CREATE TABLE BrandManagement(</v>
      </c>
      <c r="B68" s="41"/>
      <c r="C68" s="41"/>
      <c r="D68" s="41"/>
      <c r="E68" s="41"/>
      <c r="F68" s="41"/>
      <c r="G68" s="41"/>
      <c r="H68" s="41"/>
      <c r="I68" s="41"/>
      <c r="J68" s="41"/>
      <c r="K68" s="41"/>
    </row>
    <row r="69" spans="1:11" x14ac:dyDescent="0.2">
      <c r="A69" s="41"/>
      <c r="B69" s="41" t="str">
        <f>A4&amp;" "&amp;B4&amp;IF(AND(B4&lt;&gt;"int",B4&lt;&gt;"bigint",B4&lt;&gt;"bit",B4&lt;&gt;"float",B4&lt;&gt;"datetime",B4&lt;&gt;"smalldatetime",B4&lt;&gt;"timestamp",B4&lt;&gt;"xml"),"("&amp;C4&amp;") "," ")&amp;""&amp;IF(F4=FALSE,"NOT NULL","NULL")&amp;IF(G4&lt;&gt;""," DEFAULT ("&amp;G4&amp;")","")&amp;IF(H4=TRUE," AUTO_INCREMENT","")&amp;IF(A5&lt;&gt;"",", ","")</f>
        <v xml:space="preserve">id int NOT NULL AUTO_INCREMENT, </v>
      </c>
      <c r="C69" s="41"/>
      <c r="D69" s="41"/>
      <c r="E69" s="41"/>
      <c r="F69" s="41"/>
      <c r="G69" s="41"/>
      <c r="H69" s="41"/>
      <c r="I69" s="41"/>
      <c r="J69" s="41"/>
      <c r="K69" s="41"/>
    </row>
    <row r="70" spans="1:11" x14ac:dyDescent="0.2">
      <c r="A70" s="41"/>
      <c r="B70" s="41" t="str">
        <f t="shared" ref="B70:B78" si="3">A5&amp;" "&amp;B5&amp;IF(AND(B5&lt;&gt;"int",B5&lt;&gt;"bigint",B5&lt;&gt;"bit",B5&lt;&gt;"float",B5&lt;&gt;"datetime",B5&lt;&gt;"smalldatetime",B5&lt;&gt;"timestamp",B5&lt;&gt;"xml"),"("&amp;C5&amp;") "," ")&amp;""&amp;IF(F5=FALSE,"NOT NULL","NULL")&amp;IF(G5&lt;&gt;""," DEFAULT ("&amp;G5&amp;")","")&amp;IF(H5=TRUE," AUTO_INCREMENT","")&amp;IF(A6&lt;&gt;"",", ","")</f>
        <v xml:space="preserve">ma_thuong_hieu varchar(20) NOT NULL, </v>
      </c>
      <c r="C70" s="41"/>
      <c r="D70" s="41"/>
      <c r="E70" s="41"/>
      <c r="F70" s="41"/>
      <c r="G70" s="41"/>
      <c r="H70" s="41"/>
      <c r="I70" s="41"/>
      <c r="J70" s="41"/>
      <c r="K70" s="41"/>
    </row>
    <row r="71" spans="1:11" x14ac:dyDescent="0.2">
      <c r="A71" s="41"/>
      <c r="B71" s="41" t="str">
        <f t="shared" si="3"/>
        <v xml:space="preserve">ten_thuong_hieu varchar(500) NOT NULL, </v>
      </c>
      <c r="C71" s="41"/>
      <c r="D71" s="41"/>
      <c r="E71" s="41"/>
      <c r="F71" s="41"/>
      <c r="G71" s="41"/>
      <c r="H71" s="41"/>
      <c r="I71" s="41"/>
      <c r="J71" s="41"/>
      <c r="K71" s="41"/>
    </row>
    <row r="72" spans="1:11" x14ac:dyDescent="0.2">
      <c r="A72" s="41"/>
      <c r="B72" s="41" t="str">
        <f t="shared" si="3"/>
        <v xml:space="preserve">logo varchar(1000) NOT NULL, </v>
      </c>
      <c r="C72" s="41"/>
      <c r="D72" s="41"/>
      <c r="E72" s="41"/>
      <c r="F72" s="41"/>
      <c r="G72" s="41"/>
      <c r="H72" s="41"/>
      <c r="I72" s="41"/>
      <c r="J72" s="41"/>
      <c r="K72" s="41"/>
    </row>
    <row r="73" spans="1:11" x14ac:dyDescent="0.2">
      <c r="A73" s="41"/>
      <c r="B73" s="41" t="str">
        <f t="shared" si="3"/>
        <v xml:space="preserve">trang_thai varchar(50) NOT NULL, </v>
      </c>
      <c r="C73" s="41"/>
      <c r="D73" s="41"/>
      <c r="E73" s="41"/>
      <c r="F73" s="41"/>
      <c r="G73" s="41"/>
      <c r="H73" s="41"/>
      <c r="I73" s="41"/>
      <c r="J73" s="41"/>
      <c r="K73" s="41"/>
    </row>
    <row r="74" spans="1:11" x14ac:dyDescent="0.2">
      <c r="A74" s="41"/>
      <c r="B74" s="41" t="str">
        <f t="shared" si="3"/>
        <v xml:space="preserve">mo_ta varchar(1000) NULL, </v>
      </c>
      <c r="C74" s="41"/>
      <c r="D74" s="41"/>
      <c r="E74" s="41"/>
      <c r="F74" s="41"/>
      <c r="G74" s="41"/>
      <c r="H74" s="41"/>
      <c r="I74" s="41"/>
      <c r="J74" s="41"/>
      <c r="K74" s="41"/>
    </row>
    <row r="75" spans="1:11" x14ac:dyDescent="0.2">
      <c r="A75" s="41"/>
      <c r="B75" s="41" t="str">
        <f t="shared" si="3"/>
        <v xml:space="preserve">nguoi_tao nvarchar(128) NOT NULL, </v>
      </c>
      <c r="C75" s="41"/>
      <c r="D75" s="41"/>
      <c r="E75" s="41"/>
      <c r="F75" s="41"/>
      <c r="G75" s="41"/>
      <c r="H75" s="41"/>
      <c r="I75" s="41"/>
      <c r="J75" s="41"/>
      <c r="K75" s="41"/>
    </row>
    <row r="76" spans="1:11" x14ac:dyDescent="0.2">
      <c r="A76" s="41"/>
      <c r="B76" s="41" t="str">
        <f t="shared" si="3"/>
        <v xml:space="preserve">ngay_tao datetime NOT NULL, </v>
      </c>
      <c r="C76" s="41"/>
      <c r="D76" s="41"/>
      <c r="E76" s="41"/>
      <c r="F76" s="41"/>
      <c r="G76" s="41"/>
      <c r="H76" s="41"/>
      <c r="I76" s="41"/>
      <c r="J76" s="41"/>
      <c r="K76" s="41"/>
    </row>
    <row r="77" spans="1:11" x14ac:dyDescent="0.2">
      <c r="A77" s="41"/>
      <c r="B77" s="41" t="str">
        <f t="shared" si="3"/>
        <v xml:space="preserve">nguoi_cap_nhat nvarchar(128) NULL, </v>
      </c>
      <c r="C77" s="41"/>
      <c r="D77" s="41"/>
      <c r="E77" s="41"/>
      <c r="F77" s="41"/>
      <c r="G77" s="41"/>
      <c r="H77" s="41"/>
      <c r="I77" s="41"/>
      <c r="J77" s="41"/>
      <c r="K77" s="41"/>
    </row>
    <row r="78" spans="1:11" x14ac:dyDescent="0.2">
      <c r="A78" s="41"/>
      <c r="B78" s="41" t="str">
        <f t="shared" si="3"/>
        <v>ngay_cap_nhat datetime NULL</v>
      </c>
      <c r="C78" s="41"/>
      <c r="D78" s="41"/>
      <c r="E78" s="41"/>
      <c r="F78" s="41"/>
      <c r="G78" s="41"/>
      <c r="H78" s="41"/>
      <c r="I78" s="41"/>
      <c r="J78" s="41"/>
      <c r="K78" s="41"/>
    </row>
    <row r="79" spans="1:11" x14ac:dyDescent="0.2">
      <c r="A79" s="41" t="s">
        <v>74</v>
      </c>
      <c r="B79" s="41"/>
      <c r="C79" s="41"/>
      <c r="D79" s="41"/>
      <c r="E79" s="41"/>
      <c r="F79" s="41"/>
      <c r="G79" s="41"/>
      <c r="H79" s="41"/>
      <c r="I79" s="41"/>
      <c r="J79" s="41"/>
      <c r="K79" s="41"/>
    </row>
    <row r="80" spans="1:11" x14ac:dyDescent="0.2">
      <c r="A80" s="41"/>
      <c r="B80" s="5" t="str">
        <f>IF(D4=TRUE, A4&amp;IF(D5="", "", ", "), "")</f>
        <v xml:space="preserve">id, </v>
      </c>
      <c r="C80" s="41"/>
      <c r="D80" s="41"/>
      <c r="E80" s="41"/>
      <c r="F80" s="41"/>
      <c r="G80" s="41"/>
      <c r="H80" s="41"/>
      <c r="I80" s="41"/>
      <c r="J80" s="41"/>
      <c r="K80" s="41"/>
    </row>
    <row r="81" spans="1:11" x14ac:dyDescent="0.2">
      <c r="A81" s="41"/>
      <c r="B81" s="5" t="str">
        <f>IF(D5=TRUE, A5&amp;IF(D6="", "", ", "), "")</f>
        <v>ma_thuong_hieu</v>
      </c>
      <c r="C81" s="41"/>
      <c r="D81" s="41"/>
      <c r="E81" s="41"/>
      <c r="F81" s="41"/>
      <c r="G81" s="41"/>
      <c r="H81" s="41"/>
      <c r="I81" s="41"/>
      <c r="J81" s="41"/>
      <c r="K81" s="41"/>
    </row>
    <row r="82" spans="1:11" x14ac:dyDescent="0.2">
      <c r="A82" s="41"/>
      <c r="B82" s="5" t="str">
        <f>IF(D6=TRUE,#REF!&amp;IF( D8="", "", ", "), "")</f>
        <v/>
      </c>
      <c r="C82" s="41"/>
      <c r="D82" s="41"/>
      <c r="E82" s="41"/>
      <c r="F82" s="41"/>
      <c r="G82" s="41"/>
      <c r="H82" s="41"/>
      <c r="I82" s="41"/>
      <c r="J82" s="41"/>
      <c r="K82" s="41"/>
    </row>
    <row r="83" spans="1:11" x14ac:dyDescent="0.2">
      <c r="A83" s="41"/>
      <c r="B83" s="41" t="s">
        <v>75</v>
      </c>
      <c r="C83" s="41"/>
      <c r="D83" s="41"/>
      <c r="E83" s="41"/>
      <c r="F83" s="41"/>
      <c r="G83" s="41"/>
      <c r="H83" s="41"/>
      <c r="I83" s="41"/>
      <c r="J83" s="41"/>
      <c r="K83" s="41"/>
    </row>
    <row r="84" spans="1:11" x14ac:dyDescent="0.2">
      <c r="A84" s="41" t="s">
        <v>73</v>
      </c>
      <c r="B84" s="41"/>
      <c r="C84" s="41"/>
      <c r="D84" s="41"/>
      <c r="E84" s="41"/>
      <c r="F84" s="41"/>
      <c r="G84" s="41"/>
      <c r="H84" s="41"/>
      <c r="I84" s="41"/>
      <c r="J84" s="41"/>
      <c r="K84" s="41"/>
    </row>
    <row r="85" spans="1:11" x14ac:dyDescent="0.2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</row>
    <row r="86" spans="1:11" x14ac:dyDescent="0.2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</row>
    <row r="87" spans="1:11" x14ac:dyDescent="0.2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</row>
    <row r="88" spans="1:11" x14ac:dyDescent="0.2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</row>
  </sheetData>
  <mergeCells count="1">
    <mergeCell ref="A20:B20"/>
  </mergeCells>
  <hyperlinks>
    <hyperlink ref="D1" location="'Sheet List'!A1" display="back to list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26</vt:i4>
      </vt:variant>
    </vt:vector>
  </HeadingPairs>
  <TitlesOfParts>
    <vt:vector size="26" baseType="lpstr">
      <vt:lpstr>Sheet List</vt:lpstr>
      <vt:lpstr>Merchant_Info</vt:lpstr>
      <vt:lpstr>Merchant_Product</vt:lpstr>
      <vt:lpstr>Merchant_Product_Price</vt:lpstr>
      <vt:lpstr>Merchant_Product_Hierarchy</vt:lpstr>
      <vt:lpstr>Merchant_Product_Property</vt:lpstr>
      <vt:lpstr>Merchant_Product_Promotion</vt:lpstr>
      <vt:lpstr>Merchant_Promotion_Detail</vt:lpstr>
      <vt:lpstr>Merchant_Config</vt:lpstr>
      <vt:lpstr>Merchant_History</vt:lpstr>
      <vt:lpstr>Merchant_Promotion</vt:lpstr>
      <vt:lpstr>Merchant_Product_Image</vt:lpstr>
      <vt:lpstr>Merchant_WareHouse</vt:lpstr>
      <vt:lpstr>Merchant_LocationWarehouse</vt:lpstr>
      <vt:lpstr>Merchant_DetailLocation</vt:lpstr>
      <vt:lpstr>cms_PostNotify</vt:lpstr>
      <vt:lpstr>HeaderFooterMngt</vt:lpstr>
      <vt:lpstr>Merchant_OrderHeader</vt:lpstr>
      <vt:lpstr>Merchant_OrderDetail</vt:lpstr>
      <vt:lpstr>FooterManagement</vt:lpstr>
      <vt:lpstr>Order_Merchants</vt:lpstr>
      <vt:lpstr>Merchant_StockOutHeader</vt:lpstr>
      <vt:lpstr>Merchant_StockInHeader</vt:lpstr>
      <vt:lpstr>Merchant_StockOutDetail</vt:lpstr>
      <vt:lpstr>Merchant_StockInDetail</vt:lpstr>
      <vt:lpstr>BrandManagement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dungndq@live.com</dc:creator>
  <cp:lastModifiedBy>Tâm Nguyễn Văn</cp:lastModifiedBy>
  <cp:lastPrinted>2014-02-26T11:40:55Z</cp:lastPrinted>
  <dcterms:created xsi:type="dcterms:W3CDTF">2013-10-30T07:53:16Z</dcterms:created>
  <dcterms:modified xsi:type="dcterms:W3CDTF">2017-03-07T03:34:49Z</dcterms:modified>
</cp:coreProperties>
</file>